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3ec087eef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لوحة المتابعة" sheetId="1" r:id="Ra02fe20690bb463b"/>
    <x:sheet xmlns:r="http://schemas.openxmlformats.org/officeDocument/2006/relationships" name="Epics" sheetId="2" r:id="R19392426e44245f2"/>
    <x:sheet xmlns:r="http://schemas.openxmlformats.org/officeDocument/2006/relationships" name="Backlog" sheetId="3" r:id="R8a4289fb1cfd45b7"/>
    <x:sheet xmlns:r="http://schemas.openxmlformats.org/officeDocument/2006/relationships" name="خريطة الشاشات" sheetId="4" r:id="R2a415e9fb79043ff"/>
    <x:sheet xmlns:r="http://schemas.openxmlformats.org/officeDocument/2006/relationships" name="نموذج البيانات" sheetId="5" r:id="R56b423407c8a403a"/>
    <x:sheet xmlns:r="http://schemas.openxmlformats.org/officeDocument/2006/relationships" name="خطة الإصدارات" sheetId="6" r:id="Re423b3b0840a474a"/>
    <x:sheet xmlns:r="http://schemas.openxmlformats.org/officeDocument/2006/relationships" name="المخاطر" sheetId="7" r:id="Rb82ec8da7cb546fa"/>
    <x:sheet xmlns:r="http://schemas.openxmlformats.org/officeDocument/2006/relationships" name="خطة الاختبارات" sheetId="8" r:id="Rebb58f305cbf4f58"/>
    <x:sheet xmlns:r="http://schemas.openxmlformats.org/officeDocument/2006/relationships" name="القرارات والافتراضات" sheetId="9" r:id="R2800b3c1115142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243B5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176B3A"/>
      </x:font>
      <x:fill>
        <x:patternFill patternType="solid">
          <x:bgColor rgb="FFD8F3DC"/>
        </x:patternFill>
      </x:fill>
    </x:dxf>
    <x:dxf>
      <x:font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a08659b09649f7" /><Relationship Type="http://schemas.openxmlformats.org/officeDocument/2006/relationships/theme" Target="/xl/theme/theme1.xml" Id="R432eec9707f04478" /><Relationship Type="http://schemas.openxmlformats.org/officeDocument/2006/relationships/sharedStrings" Target="/xl/sharedStrings.xml" Id="Re50cfdd31c1640cd" /><Relationship Type="http://schemas.openxmlformats.org/officeDocument/2006/relationships/worksheet" Target="/xl/worksheets/sheet1.xml" Id="Ra02fe20690bb463b" /><Relationship Type="http://schemas.openxmlformats.org/officeDocument/2006/relationships/worksheet" Target="/xl/worksheets/sheet2.xml" Id="R19392426e44245f2" /><Relationship Type="http://schemas.openxmlformats.org/officeDocument/2006/relationships/worksheet" Target="/xl/worksheets/sheet3.xml" Id="R8a4289fb1cfd45b7" /><Relationship Type="http://schemas.openxmlformats.org/officeDocument/2006/relationships/worksheet" Target="/xl/worksheets/sheet4.xml" Id="R2a415e9fb79043ff" /><Relationship Type="http://schemas.openxmlformats.org/officeDocument/2006/relationships/worksheet" Target="/xl/worksheets/sheet5.xml" Id="R56b423407c8a403a" /><Relationship Type="http://schemas.openxmlformats.org/officeDocument/2006/relationships/worksheet" Target="/xl/worksheets/sheet6.xml" Id="Re423b3b0840a474a" /><Relationship Type="http://schemas.openxmlformats.org/officeDocument/2006/relationships/worksheet" Target="/xl/worksheets/sheet7.xml" Id="Rb82ec8da7cb546fa" /><Relationship Type="http://schemas.openxmlformats.org/officeDocument/2006/relationships/worksheet" Target="/xl/worksheets/sheet8.xml" Id="Rebb58f305cbf4f58" /><Relationship Type="http://schemas.openxmlformats.org/officeDocument/2006/relationships/worksheet" Target="/xl/worksheets/sheet9.xml" Id="R2800b3c1115142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a7f6121c6b436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توزيع الأولويات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'لوحة المتابعة'!$A$5:$A$8</c:f>
              <c:strCache>
                <c:ptCount val="0"/>
              </c:strCache>
            </c:strRef>
          </c:cat>
          <c:val>
            <c:numRef>
              <c:f>'لوحة المتابعة'!$B$5:$B$8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a7f6121c6b436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picsTable" displayName="EpicsTable" ref="A1:F18" headerRowCount="1">
  <x:tableColumns count="6">
    <x:tableColumn id="1" name="ID"/>
    <x:tableColumn id="2" name="Epic"/>
    <x:tableColumn id="3" name="الهدف"/>
    <x:tableColumn id="4" name="المرحلة"/>
    <x:tableColumn id="5" name="الأولوية"/>
    <x:tableColumn id="6" name="المخرج الرئيسي"/>
  </x:tableColumns>
  <x:tableStyleInfo name="TableStyleMedium2" showRowStripes="1"/>
</x:table>
</file>

<file path=xl/tables/table2.xml><?xml version="1.0" encoding="utf-8"?>
<x:table xmlns:x="http://schemas.openxmlformats.org/spreadsheetml/2006/main" id="2" name="BacklogTable" displayName="BacklogTable" ref="A1:O48" headerRowCount="1">
  <x:tableColumns count="15">
    <x:tableColumn id="1" name="ID"/>
    <x:tableColumn id="2" name="Epic"/>
    <x:tableColumn id="3" name="الوحدة"/>
    <x:tableColumn id="4" name="قصة المستخدم/المهمة"/>
    <x:tableColumn id="5" name="معيار القبول"/>
    <x:tableColumn id="6" name="الاعتماديات"/>
    <x:tableColumn id="7" name="الدور المقترح"/>
    <x:tableColumn id="8" name="الأولوية"/>
    <x:tableColumn id="9" name="Story Points"/>
    <x:tableColumn id="10" name="الإصدار"/>
    <x:tableColumn id="11" name="الحالة"/>
    <x:tableColumn id="12" name="Sprint"/>
    <x:tableColumn id="13" name="المالك"/>
    <x:tableColumn id="14" name="تاريخ البدء"/>
    <x:tableColumn id="15" name="تاريخ النهاية"/>
  </x:tableColumns>
  <x:tableStyleInfo name="TableStyleMedium2" showRowStripes="1"/>
</x:table>
</file>

<file path=xl/tables/table3.xml><?xml version="1.0" encoding="utf-8"?>
<x:table xmlns:x="http://schemas.openxmlformats.org/spreadsheetml/2006/main" id="3" name="ScreensTable" displayName="ScreensTable" ref="A1:F20" headerRowCount="1">
  <x:tableColumns count="6">
    <x:tableColumn id="1" name="ID"/>
    <x:tableColumn id="2" name="المنصة/الوحدة"/>
    <x:tableColumn id="3" name="الشاشة"/>
    <x:tableColumn id="4" name="المستخدم"/>
    <x:tableColumn id="5" name="العناصر الأساسية"/>
    <x:tableColumn id="6" name="الوجهة التالية"/>
  </x:tableColumns>
  <x:tableStyleInfo name="TableStyleMedium2" showRowStripes="1"/>
</x:table>
</file>

<file path=xl/tables/table4.xml><?xml version="1.0" encoding="utf-8"?>
<x:table xmlns:x="http://schemas.openxmlformats.org/spreadsheetml/2006/main" id="4" name="DataModelTable" displayName="DataModelTable" ref="A1:D19" headerRowCount="1">
  <x:tableColumns count="4">
    <x:tableColumn id="1" name="الجدول"/>
    <x:tableColumn id="2" name="الوحدة"/>
    <x:tableColumn id="3" name="الغرض"/>
    <x:tableColumn id="4" name="العلاقات الرئيسية"/>
  </x:tableColumns>
  <x:tableStyleInfo name="TableStyleMedium2" showRowStripes="1"/>
</x:table>
</file>

<file path=xl/tables/table5.xml><?xml version="1.0" encoding="utf-8"?>
<x:table xmlns:x="http://schemas.openxmlformats.org/spreadsheetml/2006/main" id="5" name="ReleasesTable" displayName="ReleasesTable" ref="A1:E8" headerRowCount="1">
  <x:tableColumns count="5">
    <x:tableColumn id="1" name="الإصدار"/>
    <x:tableColumn id="2" name="المرحلة"/>
    <x:tableColumn id="3" name="النطاق"/>
    <x:tableColumn id="4" name="المدة"/>
    <x:tableColumn id="5" name="بوابة النجاح"/>
  </x:tableColumns>
  <x:tableStyleInfo name="TableStyleMedium2" showRowStripes="1"/>
</x:table>
</file>

<file path=xl/tables/table6.xml><?xml version="1.0" encoding="utf-8"?>
<x:table xmlns:x="http://schemas.openxmlformats.org/spreadsheetml/2006/main" id="6" name="RisksTable" displayName="RisksTable" ref="A1:G9" headerRowCount="1">
  <x:tableColumns count="7">
    <x:tableColumn id="1" name="ID"/>
    <x:tableColumn id="2" name="الخطر"/>
    <x:tableColumn id="3" name="الاحتمال"/>
    <x:tableColumn id="4" name="الأثر"/>
    <x:tableColumn id="5" name="المعالجة"/>
    <x:tableColumn id="6" name="المالك"/>
    <x:tableColumn id="7" name="الحالة"/>
  </x:tableColumns>
  <x:tableStyleInfo name="TableStyleMedium2" showRowStripes="1"/>
</x:table>
</file>

<file path=xl/tables/table7.xml><?xml version="1.0" encoding="utf-8"?>
<x:table xmlns:x="http://schemas.openxmlformats.org/spreadsheetml/2006/main" id="7" name="TestsTable" displayName="TestsTable" ref="A1:G11" headerRowCount="1">
  <x:tableColumns count="7">
    <x:tableColumn id="1" name="ID"/>
    <x:tableColumn id="2" name="الوحدة"/>
    <x:tableColumn id="3" name="النوع"/>
    <x:tableColumn id="4" name="السيناريو"/>
    <x:tableColumn id="5" name="النتيجة المتوقعة"/>
    <x:tableColumn id="6" name="الإصدار"/>
    <x:tableColumn id="7" name="الحالة"/>
  </x:tableColumns>
  <x:tableStyleInfo name="TableStyleMedium2" showRowStripes="1"/>
</x:table>
</file>

<file path=xl/tables/table8.xml><?xml version="1.0" encoding="utf-8"?>
<x:table xmlns:x="http://schemas.openxmlformats.org/spreadsheetml/2006/main" id="8" name="DecisionsTable" displayName="DecisionsTable" ref="A1:E9" headerRowCount="1">
  <x:tableColumns count="5">
    <x:tableColumn id="1" name="ID"/>
    <x:tableColumn id="2" name="القرار"/>
    <x:tableColumn id="3" name="الخيار"/>
    <x:tableColumn id="4" name="الحالة"/>
    <x:tableColumn id="5" name="الأث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5ca1541e79a4b6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e0247f1d8b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43bc22bf28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cf7bbc518349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3c6acc07fd44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53eaac1375140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90584dccfa42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601076ea118479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3ec6d3796340d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" hidden="0" customWidth="1"/>
    <x:col min="4" max="4" width="16" hidden="0" customWidth="1"/>
    <x:col min="5" max="5" width="24" hidden="0" customWidth="1"/>
    <x:col min="6" max="6" width="24" hidden="0" customWidth="1"/>
    <x:col min="7" max="7" width="18" hidden="0" customWidth="1"/>
    <x:col min="8" max="8" width="16" hidden="0" customWidth="1"/>
  </x:cols>
  <x:sheetData>
    <x:row r="1">
      <x:c r="A1" s="32" t="str">
        <x:v>منصة الذكاء التسويقي — لوحة تنفيذ المنتج</x:v>
      </x:c>
      <x:c r="B1" s="32"/>
      <x:c r="C1" s="32"/>
      <x:c r="D1" s="32"/>
      <x:c r="E1" s="32"/>
      <x:c r="F1" s="32"/>
      <x:c r="G1" s="32"/>
      <x:c r="H1" s="32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4" t="str">
        <x:v>المؤشر</x:v>
      </x:c>
      <x:c r="B4" s="14" t="str">
        <x:v>القيمة</x:v>
      </x:c>
      <x:c r="C4" s="28"/>
      <x:c r="D4" s="14" t="str">
        <x:v>بوابات الانتقال</x:v>
      </x:c>
      <x:c r="E4" s="14"/>
      <x:c r="F4" s="14"/>
      <x:c r="G4" s="14"/>
      <x:c r="H4" s="14"/>
    </x:row>
    <x:row r="5">
      <x:c r="A5" s="28" t="str">
        <x:v>إجمالي عناصر Backlog</x:v>
      </x:c>
      <x:c r="B5" s="28" t="n">
        <x:f>COUNTA('Backlog'!A2:A500)</x:f>
        <x:v>47</x:v>
      </x:c>
      <x:c r="C5" s="28"/>
      <x:c r="D5" s="29" t="str">
        <x:v>المرحلة</x:v>
      </x:c>
      <x:c r="E5" s="29" t="str">
        <x:v>الشرط التجاري</x:v>
      </x:c>
      <x:c r="F5" s="29" t="str">
        <x:v>الشرط التقني</x:v>
      </x:c>
      <x:c r="G5" s="29" t="str">
        <x:v>المؤشر</x:v>
      </x:c>
      <x:c r="H5" s="29" t="str">
        <x:v>الحالة</x:v>
      </x:c>
    </x:row>
    <x:row r="6">
      <x:c r="A6" s="28" t="str">
        <x:v>Must</x:v>
      </x:c>
      <x:c r="B6" s="28" t="n">
        <x:f>COUNTIF('Backlog'!H2:H500,"Must")</x:f>
        <x:v>3</x:v>
      </x:c>
      <x:c r="C6" s="28"/>
      <x:c r="D6" s="28" t="str">
        <x:v>التحقق</x:v>
      </x:c>
      <x:c r="E6" s="28" t="str">
        <x:v>استعداد واضح للدفع</x:v>
      </x:c>
      <x:c r="F6" s="28" t="str">
        <x:v>Prototype قابل للاختبار</x:v>
      </x:c>
      <x:c r="G6" s="28" t="str">
        <x:v>20 مقابلة/اختبار</x:v>
      </x:c>
      <x:c r="H6" s="28" t="str">
        <x:v>لم يبدأ</x:v>
      </x:c>
    </x:row>
    <x:row r="7">
      <x:c r="A7" s="28" t="str">
        <x:v>Should</x:v>
      </x:c>
      <x:c r="B7" s="28" t="n">
        <x:f>COUNTIF('Backlog'!H2:H500,"Should")</x:f>
        <x:v>0</x:v>
      </x:c>
      <x:c r="C7" s="28"/>
      <x:c r="D7" s="28" t="str">
        <x:v>MVP</x:v>
      </x:c>
      <x:c r="E7" s="28" t="str">
        <x:v>أول اشتراكات فعلية</x:v>
      </x:c>
      <x:c r="F7" s="28" t="str">
        <x:v>4 أدوات + دفع + تقارير</x:v>
      </x:c>
      <x:c r="G7" s="28" t="str">
        <x:v>20 مستخدم Beta</x:v>
      </x:c>
      <x:c r="H7" s="28" t="str">
        <x:v>لم يبدأ</x:v>
      </x:c>
    </x:row>
    <x:row r="8">
      <x:c r="A8" s="28" t="str">
        <x:v>Could/Later</x:v>
      </x:c>
      <x:c r="B8" s="28" t="n">
        <x:f>COUNTIF('Backlog'!H2:H500,"Could")+COUNTIF('Backlog'!H2:H500,"Later")</x:f>
        <x:v>0</x:v>
      </x:c>
      <x:c r="C8" s="28"/>
      <x:c r="D8" s="28" t="str">
        <x:v>إثبات الربح</x:v>
      </x:c>
      <x:c r="E8" s="28" t="str">
        <x:v>MRR متنامٍ</x:v>
      </x:c>
      <x:c r="F8" s="28" t="str">
        <x:v>مراجعات ومقارنات</x:v>
      </x:c>
      <x:c r="G8" s="28" t="str">
        <x:v>هامش إيجابي</x:v>
      </x:c>
      <x:c r="H8" s="28" t="str">
        <x:v>لم يبدأ</x:v>
      </x:c>
    </x:row>
    <x:row r="9">
      <x:c r="A9" s="28" t="str">
        <x:v>النقاط التقديرية</x:v>
      </x:c>
      <x:c r="B9" s="28" t="n">
        <x:f>SUM('Backlog'!I2:I500)</x:f>
        <x:v>13</x:v>
      </x:c>
      <x:c r="C9" s="28"/>
      <x:c r="D9" s="28" t="str">
        <x:v>التطبيق</x:v>
      </x:c>
      <x:c r="E9" s="28" t="str">
        <x:v>استخدام متكرر</x:v>
      </x:c>
      <x:c r="F9" s="28" t="str">
        <x:v>API مستقر</x:v>
      </x:c>
      <x:c r="G9" s="28" t="str">
        <x:v>طلب مثبت للجوال</x:v>
      </x:c>
      <x:c r="H9" s="28" t="str">
        <x:v>لم يبدأ</x:v>
      </x:c>
    </x:row>
    <x:row r="10">
      <x:c r="A10" s="28" t="str">
        <x:v>عناصر MVP</x:v>
      </x:c>
      <x:c r="B10" s="28" t="n">
        <x:f>COUNTIF('Backlog'!J2:J500,"MVP")</x:f>
        <x:v>0</x:v>
      </x:c>
      <x:c r="C10" s="28"/>
      <x:c r="D10" s="28" t="str">
        <x:v>الوكالات</x:v>
      </x:c>
      <x:c r="E10" s="28" t="str">
        <x:v>عقود سنوية</x:v>
      </x:c>
      <x:c r="F10" s="28" t="str">
        <x:v>Teams/White Label</x:v>
      </x:c>
      <x:c r="G10" s="28" t="str">
        <x:v>3 وكالات مدفوعة</x:v>
      </x:c>
      <x:c r="H10" s="28" t="str">
        <x:v>لم يبدأ</x:v>
      </x:c>
    </x:row>
    <x:row r="11">
      <x:c r="A11" s="28" t="str">
        <x:v>مكتمل</x:v>
      </x:c>
      <x:c r="B11" s="28" t="n">
        <x:f>COUNTIF('Backlog'!K2:K500,"مكتمل")</x:f>
        <x:v>0</x:v>
      </x:c>
      <x:c r="C11" s="28"/>
      <x:c r="D11" s="28"/>
      <x:c r="E11" s="28"/>
      <x:c r="F11" s="28"/>
      <x:c r="G11" s="28"/>
      <x:c r="H11" s="28"/>
    </x:row>
    <x:row r="12">
      <x:c r="A12" s="28"/>
      <x:c r="B12" s="28"/>
      <x:c r="C12" s="28"/>
      <x:c r="D12" s="28"/>
      <x:c r="E12" s="28"/>
      <x:c r="F12" s="28"/>
      <x:c r="G12" s="28"/>
      <x:c r="H12" s="28"/>
    </x:row>
  </x:sheetData>
  <x:mergeCells>
    <x:mergeCell ref="A1:H2"/>
    <x:mergeCell ref="D4:H4"/>
  </x:mergeCells>
  <x:pageMargins left="0.7" right="0.7" top="0.75" bottom="0.75" header="0.3" footer="0.3"/>
  <x:drawing xmlns:r="http://schemas.openxmlformats.org/officeDocument/2006/relationships" r:id="Rc5ca1541e79a4b67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12" hidden="0" customWidth="1"/>
    <x:col min="5" max="5" width="12" hidden="0" customWidth="1"/>
    <x:col min="6" max="6" width="44" hidden="0" customWidth="1"/>
  </x:cols>
  <x:sheetData>
    <x:row r="1">
      <x:c r="A1" s="14" t="str">
        <x:v>ID</x:v>
      </x:c>
      <x:c r="B1" s="14" t="str">
        <x:v>Epic</x:v>
      </x:c>
      <x:c r="C1" s="14" t="str">
        <x:v>الهدف</x:v>
      </x:c>
      <x:c r="D1" s="14" t="str">
        <x:v>المرحلة</x:v>
      </x:c>
      <x:c r="E1" s="14" t="str">
        <x:v>الأولوية</x:v>
      </x:c>
      <x:c r="F1" s="14" t="str">
        <x:v>المخرج الرئيسي</x:v>
      </x:c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E01</x:v>
      </x:c>
      <x:c r="B2" t="str">
        <x:v>التحقق التجاري</x:v>
      </x:c>
      <x:c r="C2" t="str">
        <x:v>اختبار المشكلة والسعر والعرض قبل البناء</x:v>
      </x:c>
      <x:c r="D2" t="str">
        <x:v>0</x:v>
      </x:c>
      <x:c r="E2" t="str">
        <x:v>Must</x:v>
      </x:c>
      <x:c r="F2" t="str">
        <x:v>صفحة انتظار + مقابلات + نموذج تقرير</x:v>
      </x:c>
    </x:row>
    <x:row r="3">
      <x:c r="A3" t="str">
        <x:v>E02</x:v>
      </x:c>
      <x:c r="B3" t="str">
        <x:v>الهوية والحساب</x:v>
      </x:c>
      <x:c r="C3" t="str">
        <x:v>التسجيل والمصادقة والمساحات</x:v>
      </x:c>
      <x:c r="D3" t="str">
        <x:v>MVP</x:v>
      </x:c>
      <x:c r="E3" t="str">
        <x:v>Must</x:v>
      </x:c>
      <x:c r="F3" t="str">
        <x:v>حساب آمن وWorkspace</x:v>
      </x:c>
    </x:row>
    <x:row r="4">
      <x:c r="A4" t="str">
        <x:v>E03</x:v>
      </x:c>
      <x:c r="B4" t="str">
        <x:v>المشاريع</x:v>
      </x:c>
      <x:c r="C4" t="str">
        <x:v>ملف المشروع الموحد والبيانات</x:v>
      </x:c>
      <x:c r="D4" t="str">
        <x:v>MVP</x:v>
      </x:c>
      <x:c r="E4" t="str">
        <x:v>Must</x:v>
      </x:c>
      <x:c r="F4" t="str">
        <x:v>إنشاء مشروع واستئناف المعالج</x:v>
      </x:c>
    </x:row>
    <x:row r="5">
      <x:c r="A5" t="str">
        <x:v>E04</x:v>
      </x:c>
      <x:c r="B5" t="str">
        <x:v>كتالوج الأدوات</x:v>
      </x:c>
      <x:c r="C5" t="str">
        <x:v>عرض الأدوات وإدارة إصداراتها</x:v>
      </x:c>
      <x:c r="D5" t="str">
        <x:v>MVP</x:v>
      </x:c>
      <x:c r="E5" t="str">
        <x:v>Must</x:v>
      </x:c>
      <x:c r="F5" t="str">
        <x:v>4 أدوات منشورة</x:v>
      </x:c>
    </x:row>
    <x:row r="6">
      <x:c r="A6" t="str">
        <x:v>E05</x:v>
      </x:c>
      <x:c r="B6" t="str">
        <x:v>محرك التشغيل والذكاء</x:v>
      </x:c>
      <x:c r="C6" t="str">
        <x:v>Runs وFiles وAI orchestration</x:v>
      </x:c>
      <x:c r="D6" t="str">
        <x:v>MVP</x:v>
      </x:c>
      <x:c r="E6" t="str">
        <x:v>Must</x:v>
      </x:c>
      <x:c r="F6" t="str">
        <x:v>تشغيل موثوق ومقاس التكلفة</x:v>
      </x:c>
    </x:row>
    <x:row r="7">
      <x:c r="A7" t="str">
        <x:v>E06</x:v>
      </x:c>
      <x:c r="B7" t="str">
        <x:v>التقارير</x:v>
      </x:c>
      <x:c r="C7" t="str">
        <x:v>عارض وتقسيم وتصدير</x:v>
      </x:c>
      <x:c r="D7" t="str">
        <x:v>MVP</x:v>
      </x:c>
      <x:c r="E7" t="str">
        <x:v>Must</x:v>
      </x:c>
      <x:c r="F7" t="str">
        <x:v>HTML + PDF عربي</x:v>
      </x:c>
    </x:row>
    <x:row r="8">
      <x:c r="A8" t="str">
        <x:v>E07</x:v>
      </x:c>
      <x:c r="B8" t="str">
        <x:v>التنفيذ</x:v>
      </x:c>
      <x:c r="C8" t="str">
        <x:v>توصيات ومهام وخارطة طريق</x:v>
      </x:c>
      <x:c r="D8" t="str">
        <x:v>MVP</x:v>
      </x:c>
      <x:c r="E8" t="str">
        <x:v>Must</x:v>
      </x:c>
      <x:c r="F8" t="str">
        <x:v>تحويل التوصيات إلى مهام</x:v>
      </x:c>
    </x:row>
    <x:row r="9">
      <x:c r="A9" t="str">
        <x:v>E08</x:v>
      </x:c>
      <x:c r="B9" t="str">
        <x:v>الفوترة والأرصدة</x:v>
      </x:c>
      <x:c r="C9" t="str">
        <x:v>خطط ودفع ومحفظة Credits</x:v>
      </x:c>
      <x:c r="D9" t="str">
        <x:v>MVP</x:v>
      </x:c>
      <x:c r="E9" t="str">
        <x:v>Must</x:v>
      </x:c>
      <x:c r="F9" t="str">
        <x:v>اشتراك وحزم رصيد</x:v>
      </x:c>
    </x:row>
    <x:row r="10">
      <x:c r="A10" t="str">
        <x:v>E09</x:v>
      </x:c>
      <x:c r="B10" t="str">
        <x:v>لوحة الإدارة</x:v>
      </x:c>
      <x:c r="C10" t="str">
        <x:v>أدوات وبرومبتات ومراقبة</x:v>
      </x:c>
      <x:c r="D10" t="str">
        <x:v>MVP</x:v>
      </x:c>
      <x:c r="E10" t="str">
        <x:v>Must</x:v>
      </x:c>
      <x:c r="F10" t="str">
        <x:v>Versioning وAnalytics</x:v>
      </x:c>
    </x:row>
    <x:row r="11">
      <x:c r="A11" t="str">
        <x:v>E10</x:v>
      </x:c>
      <x:c r="B11" t="str">
        <x:v>النمو والإحالات</x:v>
      </x:c>
      <x:c r="C11" t="str">
        <x:v>SEO tools وإحالات وكوبونات</x:v>
      </x:c>
      <x:c r="D11" t="str">
        <x:v>2</x:v>
      </x:c>
      <x:c r="E11" t="str">
        <x:v>Should</x:v>
      </x:c>
      <x:c r="F11" t="str">
        <x:v>حلقة نمو أولية</x:v>
      </x:c>
    </x:row>
    <x:row r="12">
      <x:c r="A12" t="str">
        <x:v>E11</x:v>
      </x:c>
      <x:c r="B12" t="str">
        <x:v>الإعلانات والرعاية</x:v>
      </x:c>
      <x:c r="C12" t="str">
        <x:v>مساحات مجانية ورعاية مباشرة</x:v>
      </x:c>
      <x:c r="D12" t="str">
        <x:v>2</x:v>
      </x:c>
      <x:c r="E12" t="str">
        <x:v>Should</x:v>
      </x:c>
      <x:c r="F12" t="str">
        <x:v>إيراد إضافي دون إفساد UX</x:v>
      </x:c>
    </x:row>
    <x:row r="13">
      <x:c r="A13" t="str">
        <x:v>E12</x:v>
      </x:c>
      <x:c r="B13" t="str">
        <x:v>المؤشرات والمراجعات</x:v>
      </x:c>
      <x:c r="C13" t="str">
        <x:v>KPIs ومقارنة شهرية</x:v>
      </x:c>
      <x:c r="D13" t="str">
        <x:v>2</x:v>
      </x:c>
      <x:c r="E13" t="str">
        <x:v>Should</x:v>
      </x:c>
      <x:c r="F13" t="str">
        <x:v>سبب واضح للعودة</x:v>
      </x:c>
    </x:row>
    <x:row r="14">
      <x:c r="A14" t="str">
        <x:v>E13</x:v>
      </x:c>
      <x:c r="B14" t="str">
        <x:v>الفرق والصلاحيات</x:v>
      </x:c>
      <x:c r="C14" t="str">
        <x:v>أعضاء وأدوار وتعليقات</x:v>
      </x:c>
      <x:c r="D14" t="str">
        <x:v>4</x:v>
      </x:c>
      <x:c r="E14" t="str">
        <x:v>Should</x:v>
      </x:c>
      <x:c r="F14" t="str">
        <x:v>خطط الفرق</x:v>
      </x:c>
    </x:row>
    <x:row r="15">
      <x:c r="A15" t="str">
        <x:v>E14</x:v>
      </x:c>
      <x:c r="B15" t="str">
        <x:v>التطبيق Flutter</x:v>
      </x:c>
      <x:c r="C15" t="str">
        <x:v>تطبيق Android/iOS</x:v>
      </x:c>
      <x:c r="D15" t="str">
        <x:v>3</x:v>
      </x:c>
      <x:c r="E15" t="str">
        <x:v>Should</x:v>
      </x:c>
      <x:c r="F15" t="str">
        <x:v>متابعة يومية ومشتريات</x:v>
      </x:c>
    </x:row>
    <x:row r="16">
      <x:c r="A16" t="str">
        <x:v>E15</x:v>
      </x:c>
      <x:c r="B16" t="str">
        <x:v>White Label والوكالات</x:v>
      </x:c>
      <x:c r="C16" t="str">
        <x:v>بوابة عميل وهوية مخصصة</x:v>
      </x:c>
      <x:c r="D16" t="str">
        <x:v>4</x:v>
      </x:c>
      <x:c r="E16" t="str">
        <x:v>Later</x:v>
      </x:c>
      <x:c r="F16" t="str">
        <x:v>عقود وكالات</x:v>
      </x:c>
    </x:row>
    <x:row r="17">
      <x:c r="A17" t="str">
        <x:v>E16</x:v>
      </x:c>
      <x:c r="B17" t="str">
        <x:v>التكاملات</x:v>
      </x:c>
      <x:c r="C17" t="str">
        <x:v>Ads/Analytics/CRM</x:v>
      </x:c>
      <x:c r="D17" t="str">
        <x:v>5</x:v>
      </x:c>
      <x:c r="E17" t="str">
        <x:v>Later</x:v>
      </x:c>
      <x:c r="F17" t="str">
        <x:v>استيراد بيانات مباشر</x:v>
      </x:c>
    </x:row>
    <x:row r="18">
      <x:c r="A18" t="str">
        <x:v>E17</x:v>
      </x:c>
      <x:c r="B18" t="str">
        <x:v>الأمان والامتثال</x:v>
      </x:c>
      <x:c r="C18" t="str">
        <x:v>خصوصية وسجلات وحذف</x:v>
      </x:c>
      <x:c r="D18" t="str">
        <x:v>MVP</x:v>
      </x:c>
      <x:c r="E18" t="str">
        <x:v>Must</x:v>
      </x:c>
      <x:c r="F18" t="str">
        <x:v>إطلاق آمن</x:v>
      </x:c>
    </x:row>
  </x:sheetData>
  <x:pageMargins left="0.7" right="0.7" top="0.75" bottom="0.75" header="0.3" footer="0.3"/>
  <x:tableParts count="1">
    <x:tablePart xmlns:r="http://schemas.openxmlformats.org/officeDocument/2006/relationships" r:id="Rd2e0247f1d8b4c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16" hidden="0" customWidth="1"/>
    <x:col min="4" max="4" width="48" hidden="0" customWidth="1"/>
    <x:col min="5" max="5" width="52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8" hidden="0" customWidth="1"/>
    <x:col min="14" max="14" width="14" hidden="0" customWidth="1"/>
    <x:col min="15" max="15" width="14" hidden="0" customWidth="1"/>
  </x:cols>
  <x:sheetData>
    <x:row r="1">
      <x:c r="A1" s="14" t="str">
        <x:v>ID</x:v>
      </x:c>
      <x:c r="B1" s="14" t="str">
        <x:v>Epic</x:v>
      </x:c>
      <x:c r="C1" s="14" t="str">
        <x:v>الوحدة</x:v>
      </x:c>
      <x:c r="D1" s="14" t="str">
        <x:v>قصة المستخدم/المهمة</x:v>
      </x:c>
      <x:c r="E1" s="14" t="str">
        <x:v>معيار القبول</x:v>
      </x:c>
      <x:c r="F1" s="14" t="str">
        <x:v>الاعتماديات</x:v>
      </x:c>
      <x:c r="G1" s="14" t="str">
        <x:v>الدور المقترح</x:v>
      </x:c>
      <x:c r="H1" s="14" t="str">
        <x:v>الأولوية</x:v>
      </x:c>
      <x:c r="I1" s="14" t="str">
        <x:v>Story Points</x:v>
      </x:c>
      <x:c r="J1" s="14" t="str">
        <x:v>الإصدار</x:v>
      </x:c>
      <x:c r="K1" s="14" t="str">
        <x:v>الحالة</x:v>
      </x:c>
      <x:c r="L1" s="14" t="str">
        <x:v>Sprint</x:v>
      </x:c>
      <x:c r="M1" s="14" t="str">
        <x:v>المالك</x:v>
      </x:c>
      <x:c r="N1" s="14" t="str">
        <x:v>تاريخ البدء</x:v>
      </x:c>
      <x:c r="O1" s="14" t="str">
        <x:v>تاريخ النهاية</x:v>
      </x:c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B001</x:v>
      </x:c>
      <x:c r="B2" t="str">
        <x:v>E01</x:v>
      </x:c>
      <x:c r="C2" t="str">
        <x:v>بحث</x:v>
      </x:c>
      <x:c r="D2" t="str">
        <x:v>إجراء 20 مقابلة مع أصحاب مشاريع ومسوقين ووكالات</x:v>
      </x:c>
      <x:c r="E2" t="str">
        <x:v>توثيق المشكلات والاستعداد للدفع والبدائل</x:v>
      </x:c>
      <x:c r="F2" t="str">
        <x:v>—</x:v>
      </x:c>
      <x:c r="G2" t="str">
        <x:v>Product</x:v>
      </x:c>
      <x:c r="H2" t="str">
        <x:v>Must</x:v>
      </x:c>
      <x:c r="I2" t="n">
        <x:v>5</x:v>
      </x:c>
      <x:c r="J2" t="str">
        <x:v>Discovery</x:v>
      </x:c>
      <x:c r="K2" t="str">
        <x:v>لم يبدأ</x:v>
      </x:c>
      <x:c r="L2" t="str"/>
      <x:c r="M2" t="str"/>
      <x:c r="N2" t="str"/>
      <x:c r="O2" t="str"/>
    </x:row>
    <x:row r="3">
      <x:c r="A3" t="str">
        <x:v>B002</x:v>
      </x:c>
      <x:c r="B3" t="str">
        <x:v>E01</x:v>
      </x:c>
      <x:c r="C3" t="str">
        <x:v>تجربة</x:v>
      </x:c>
      <x:c r="D3" t="str">
        <x:v>بناء صفحة انتظار ورسالة قيمة</x:v>
      </x:c>
      <x:c r="E3" t="str">
        <x:v>قياس التسجيل ومصدر الزيارة</x:v>
      </x:c>
      <x:c r="F3" t="str">
        <x:v>B001</x:v>
      </x:c>
      <x:c r="G3" t="str">
        <x:v>UX/Frontend</x:v>
      </x:c>
      <x:c r="H3" t="str">
        <x:v>Must</x:v>
      </x:c>
      <x:c r="I3" t="n">
        <x:v>5</x:v>
      </x:c>
      <x:c r="J3" t="str">
        <x:v>Discovery</x:v>
      </x:c>
      <x:c r="K3" t="str">
        <x:v>لم يبدأ</x:v>
      </x:c>
      <x:c r="L3" t="str"/>
      <x:c r="M3" t="str"/>
      <x:c r="N3" t="str"/>
      <x:c r="O3" t="str"/>
    </x:row>
    <x:row r="4">
      <x:c r="A4" t="str">
        <x:v>B003</x:v>
      </x:c>
      <x:c r="B4" t="str">
        <x:v>E01</x:v>
      </x:c>
      <x:c r="C4" t="str">
        <x:v>تسعير</x:v>
      </x:c>
      <x:c r="D4" t="str">
        <x:v>اختبار 3 باقات وعرض تأسيسي</x:v>
      </x:c>
      <x:c r="E4" t="str">
        <x:v>تسجيل اعتراضات وسعر مقبول</x:v>
      </x:c>
      <x:c r="F4" t="str">
        <x:v>B001</x:v>
      </x:c>
      <x:c r="G4" t="str">
        <x:v>Product</x:v>
      </x:c>
      <x:c r="H4" t="str">
        <x:v>Must</x:v>
      </x:c>
      <x:c r="I4" t="n">
        <x:v>3</x:v>
      </x:c>
      <x:c r="J4" t="str">
        <x:v>Discovery</x:v>
      </x:c>
      <x:c r="K4" t="str">
        <x:v>لم يبدأ</x:v>
      </x:c>
      <x:c r="L4" t="str"/>
      <x:c r="M4" t="str"/>
      <x:c r="N4" t="str"/>
      <x:c r="O4" t="str"/>
    </x:row>
    <x:row r="5">
      <x:c r="A5" t="str">
        <x:v>B004</x:v>
      </x:c>
      <x:c r="B5" t="str">
        <x:v>E02</x:v>
      </x:c>
      <x:c r="C5" t="str">
        <x:v>Auth</x:v>
      </x:c>
      <x:c r="D5" t="str">
        <x:v>تسجيل بالبريد وتأكيده</x:v>
      </x:c>
      <x:c r="E5" t="str">
        <x:v>إنشاء حساب وWorkspace ورسالة تأكيد</x:v>
      </x:c>
      <x:c r="F5" t="str">
        <x:v>—</x:v>
      </x:c>
      <x:c r="G5" t="str">
        <x:v>Backend</x:v>
      </x:c>
      <x:c r="H5" t="n">
        <x:v>5</x:v>
      </x:c>
      <x:c r="I5" t="str">
        <x:v>MVP</x:v>
      </x:c>
      <x:c r="J5" t="str">
        <x:v>لم يبدأ</x:v>
      </x:c>
      <x:c r="K5" t="str"/>
      <x:c r="L5" t="str"/>
      <x:c r="M5" t="str"/>
      <x:c r="N5" t="str"/>
      <x:c r="O5"/>
    </x:row>
    <x:row r="6">
      <x:c r="A6" t="str">
        <x:v>B005</x:v>
      </x:c>
      <x:c r="B6" t="str">
        <x:v>E02</x:v>
      </x:c>
      <x:c r="C6" t="str">
        <x:v>Auth</x:v>
      </x:c>
      <x:c r="D6" t="str">
        <x:v>تسجيل الدخول واستعادة كلمة المرور</x:v>
      </x:c>
      <x:c r="E6" t="str">
        <x:v>تدفق ناجح وآمن ورسائل خطأ واضحة</x:v>
      </x:c>
      <x:c r="F6" t="str">
        <x:v>B004</x:v>
      </x:c>
      <x:c r="G6" t="str">
        <x:v>Backend</x:v>
      </x:c>
      <x:c r="H6" t="n">
        <x:v>3</x:v>
      </x:c>
      <x:c r="I6" t="str">
        <x:v>MVP</x:v>
      </x:c>
      <x:c r="J6" t="str">
        <x:v>لم يبدأ</x:v>
      </x:c>
      <x:c r="K6" t="str"/>
      <x:c r="L6" t="str"/>
      <x:c r="M6" t="str"/>
      <x:c r="N6" t="str"/>
      <x:c r="O6"/>
    </x:row>
    <x:row r="7">
      <x:c r="A7" t="str">
        <x:v>B006</x:v>
      </x:c>
      <x:c r="B7" t="str">
        <x:v>E02</x:v>
      </x:c>
      <x:c r="C7" t="str">
        <x:v>Workspace</x:v>
      </x:c>
      <x:c r="D7" t="str">
        <x:v>إنشاء Workspace شخصية تلقائياً</x:v>
      </x:c>
      <x:c r="E7" t="str">
        <x:v>Workspace واحدة مرتبطة بالمالك</x:v>
      </x:c>
      <x:c r="F7" t="str">
        <x:v>B004</x:v>
      </x:c>
      <x:c r="G7" t="str">
        <x:v>Backend</x:v>
      </x:c>
      <x:c r="H7" t="n">
        <x:v>3</x:v>
      </x:c>
      <x:c r="I7" t="str">
        <x:v>MVP</x:v>
      </x:c>
      <x:c r="J7" t="str">
        <x:v>لم يبدأ</x:v>
      </x:c>
      <x:c r="K7" t="str"/>
      <x:c r="L7" t="str"/>
      <x:c r="M7" t="str"/>
      <x:c r="N7" t="str"/>
      <x:c r="O7"/>
    </x:row>
    <x:row r="8">
      <x:c r="A8" t="str">
        <x:v>B007</x:v>
      </x:c>
      <x:c r="B8" t="str">
        <x:v>E03</x:v>
      </x:c>
      <x:c r="C8" t="str">
        <x:v>Projects</x:v>
      </x:c>
      <x:c r="D8" t="str">
        <x:v>قائمة المشاريع وإنشاء مشروع</x:v>
      </x:c>
      <x:c r="E8" t="str">
        <x:v>المجاني مشروع واحد والتحقق من الحد</x:v>
      </x:c>
      <x:c r="F8" t="str">
        <x:v>B006</x:v>
      </x:c>
      <x:c r="G8" t="str">
        <x:v>Full-stack</x:v>
      </x:c>
      <x:c r="H8" t="n">
        <x:v>5</x:v>
      </x:c>
      <x:c r="I8" t="str">
        <x:v>MVP</x:v>
      </x:c>
      <x:c r="J8" t="str">
        <x:v>لم يبدأ</x:v>
      </x:c>
      <x:c r="K8" t="str"/>
      <x:c r="L8" t="str"/>
      <x:c r="M8" t="str"/>
      <x:c r="N8" t="str"/>
      <x:c r="O8"/>
    </x:row>
    <x:row r="9">
      <x:c r="A9" t="str">
        <x:v>B008</x:v>
      </x:c>
      <x:c r="B9" t="str">
        <x:v>E03</x:v>
      </x:c>
      <x:c r="C9" t="str">
        <x:v>Profile</x:v>
      </x:c>
      <x:c r="D9" t="str">
        <x:v>معالج ملف المشروع متعدد الخطوات</x:v>
      </x:c>
      <x:c r="E9" t="str">
        <x:v>حفظ تلقائي واستئناف ومؤشر اكتمال</x:v>
      </x:c>
      <x:c r="F9" t="str">
        <x:v>B007</x:v>
      </x:c>
      <x:c r="G9" t="str">
        <x:v>Frontend</x:v>
      </x:c>
      <x:c r="H9" t="n">
        <x:v>8</x:v>
      </x:c>
      <x:c r="I9" t="str">
        <x:v>MVP</x:v>
      </x:c>
      <x:c r="J9" t="str">
        <x:v>لم يبدأ</x:v>
      </x:c>
      <x:c r="K9" t="str"/>
      <x:c r="L9" t="str"/>
      <x:c r="M9" t="str"/>
      <x:c r="N9" t="str"/>
      <x:c r="O9"/>
    </x:row>
    <x:row r="10">
      <x:c r="A10" t="str">
        <x:v>B009</x:v>
      </x:c>
      <x:c r="B10" t="str">
        <x:v>E03</x:v>
      </x:c>
      <x:c r="C10" t="str">
        <x:v>Profile</x:v>
      </x:c>
      <x:c r="D10" t="str">
        <x:v>إدارة المنتجات والجمهور والمنافسين والأهداف</x:v>
      </x:c>
      <x:c r="E10" t="str">
        <x:v>CRUD وصلاحيات وتحقق</x:v>
      </x:c>
      <x:c r="F10" t="str">
        <x:v>B007</x:v>
      </x:c>
      <x:c r="G10" t="str">
        <x:v>Full-stack</x:v>
      </x:c>
      <x:c r="H10" t="n">
        <x:v>8</x:v>
      </x:c>
      <x:c r="I10" t="str">
        <x:v>MVP</x:v>
      </x:c>
      <x:c r="J10" t="str">
        <x:v>لم يبدأ</x:v>
      </x:c>
      <x:c r="K10" t="str"/>
      <x:c r="L10" t="str"/>
      <x:c r="M10" t="str"/>
      <x:c r="N10" t="str"/>
      <x:c r="O10"/>
    </x:row>
    <x:row r="11">
      <x:c r="A11" t="str">
        <x:v>B010</x:v>
      </x:c>
      <x:c r="B11" t="str">
        <x:v>E04</x:v>
      </x:c>
      <x:c r="C11" t="str">
        <x:v>Tools</x:v>
      </x:c>
      <x:c r="D11" t="str">
        <x:v>كتالوج أدوات حسب الهدف</x:v>
      </x:c>
      <x:c r="E11" t="str">
        <x:v>بحث وتصنيف وإتاحة حسب الخطة</x:v>
      </x:c>
      <x:c r="F11" t="str">
        <x:v>B006</x:v>
      </x:c>
      <x:c r="G11" t="str">
        <x:v>Frontend</x:v>
      </x:c>
      <x:c r="H11" t="n">
        <x:v>5</x:v>
      </x:c>
      <x:c r="I11" t="str">
        <x:v>MVP</x:v>
      </x:c>
      <x:c r="J11" t="str">
        <x:v>لم يبدأ</x:v>
      </x:c>
      <x:c r="K11" t="str"/>
      <x:c r="L11" t="str"/>
      <x:c r="M11" t="str"/>
      <x:c r="N11" t="str"/>
      <x:c r="O11"/>
    </x:row>
    <x:row r="12">
      <x:c r="A12" t="str">
        <x:v>B011</x:v>
      </x:c>
      <x:c r="B12" t="str">
        <x:v>E04</x:v>
      </x:c>
      <x:c r="C12" t="str">
        <x:v>Admin</x:v>
      </x:c>
      <x:c r="D12" t="str">
        <x:v>إدارة Tool Versions وFields</x:v>
      </x:c>
      <x:c r="E12" t="str">
        <x:v>مسودة واختبار ونشر دون كسر القديم</x:v>
      </x:c>
      <x:c r="F12" t="str">
        <x:v>B010</x:v>
      </x:c>
      <x:c r="G12" t="str">
        <x:v>Backend</x:v>
      </x:c>
      <x:c r="H12" t="n">
        <x:v>8</x:v>
      </x:c>
      <x:c r="I12" t="str">
        <x:v>MVP</x:v>
      </x:c>
      <x:c r="J12" t="str">
        <x:v>لم يبدأ</x:v>
      </x:c>
      <x:c r="K12" t="str"/>
      <x:c r="L12" t="str"/>
      <x:c r="M12" t="str"/>
      <x:c r="N12" t="str"/>
      <x:c r="O12"/>
    </x:row>
    <x:row r="13">
      <x:c r="A13" t="str">
        <x:v>B012</x:v>
      </x:c>
      <x:c r="B13" t="str">
        <x:v>E05</x:v>
      </x:c>
      <x:c r="C13" t="str">
        <x:v>Runs</x:v>
      </x:c>
      <x:c r="D13" t="str">
        <x:v>إنشاء Run وحفظ Snapshot</x:v>
      </x:c>
      <x:c r="E13" t="str">
        <x:v>إصدار أداة وبيانات مشروع ثابتة</x:v>
      </x:c>
      <x:c r="F13" t="str">
        <x:v>B011,B009</x:v>
      </x:c>
      <x:c r="G13" t="str">
        <x:v>Backend</x:v>
      </x:c>
      <x:c r="H13" t="n">
        <x:v>8</x:v>
      </x:c>
      <x:c r="I13" t="str">
        <x:v>MVP</x:v>
      </x:c>
      <x:c r="J13" t="str">
        <x:v>لم يبدأ</x:v>
      </x:c>
      <x:c r="K13" t="str"/>
      <x:c r="L13" t="str"/>
      <x:c r="M13" t="str"/>
      <x:c r="N13" t="str"/>
      <x:c r="O13"/>
    </x:row>
    <x:row r="14">
      <x:c r="A14" t="str">
        <x:v>B013</x:v>
      </x:c>
      <x:c r="B14" t="str">
        <x:v>E05</x:v>
      </x:c>
      <x:c r="C14" t="str">
        <x:v>Forms</x:v>
      </x:c>
      <x:c r="D14" t="str">
        <x:v>توليد نموذج ديناميكي من Schema</x:v>
      </x:c>
      <x:c r="E14" t="str">
        <x:v>الشروط والتحقق والحفظ تعمل</x:v>
      </x:c>
      <x:c r="F14" t="str">
        <x:v>B011</x:v>
      </x:c>
      <x:c r="G14" t="str">
        <x:v>Frontend</x:v>
      </x:c>
      <x:c r="H14" t="n">
        <x:v>8</x:v>
      </x:c>
      <x:c r="I14" t="str">
        <x:v>MVP</x:v>
      </x:c>
      <x:c r="J14" t="str">
        <x:v>لم يبدأ</x:v>
      </x:c>
      <x:c r="K14" t="str"/>
      <x:c r="L14" t="str"/>
      <x:c r="M14" t="str"/>
      <x:c r="N14" t="str"/>
      <x:c r="O14"/>
    </x:row>
    <x:row r="15">
      <x:c r="A15" t="str">
        <x:v>B014</x:v>
      </x:c>
      <x:c r="B15" t="str">
        <x:v>E05</x:v>
      </x:c>
      <x:c r="C15" t="str">
        <x:v>Files</x:v>
      </x:c>
      <x:c r="D15" t="str">
        <x:v>رفع ملفات وروابط واستخراج محتوى</x:v>
      </x:c>
      <x:c r="E15" t="str">
        <x:v>أنواع مسموحة وحالة استخراج وأخطاء</x:v>
      </x:c>
      <x:c r="F15" t="str">
        <x:v>B012</x:v>
      </x:c>
      <x:c r="G15" t="str">
        <x:v>Backend/AI</x:v>
      </x:c>
      <x:c r="H15" t="n">
        <x:v>8</x:v>
      </x:c>
      <x:c r="I15" t="str">
        <x:v>MVP</x:v>
      </x:c>
      <x:c r="J15" t="str">
        <x:v>لم يبدأ</x:v>
      </x:c>
      <x:c r="K15" t="str"/>
      <x:c r="L15" t="str"/>
      <x:c r="M15" t="str"/>
      <x:c r="N15" t="str"/>
      <x:c r="O15"/>
    </x:row>
    <x:row r="16">
      <x:c r="A16" t="str">
        <x:v>B015</x:v>
      </x:c>
      <x:c r="B16" t="str">
        <x:v>E05</x:v>
      </x:c>
      <x:c r="C16" t="str">
        <x:v>Credits</x:v>
      </x:c>
      <x:c r="D16" t="str">
        <x:v>حجز الرصيد قبل التشغيل</x:v>
      </x:c>
      <x:c r="E16" t="str">
        <x:v>حجز/خصم/استرداد Idempotent</x:v>
      </x:c>
      <x:c r="F16" t="str">
        <x:v>B012,B030</x:v>
      </x:c>
      <x:c r="G16" t="str">
        <x:v>Backend</x:v>
      </x:c>
      <x:c r="H16" t="n">
        <x:v>5</x:v>
      </x:c>
      <x:c r="I16" t="str">
        <x:v>MVP</x:v>
      </x:c>
      <x:c r="J16" t="str">
        <x:v>لم يبدأ</x:v>
      </x:c>
      <x:c r="K16" t="str"/>
      <x:c r="L16" t="str"/>
      <x:c r="M16" t="str"/>
      <x:c r="N16" t="str"/>
      <x:c r="O16"/>
    </x:row>
    <x:row r="17">
      <x:c r="A17" t="str">
        <x:v>B016</x:v>
      </x:c>
      <x:c r="B17" t="str">
        <x:v>E05</x:v>
      </x:c>
      <x:c r="C17" t="str">
        <x:v>AI</x:v>
      </x:c>
      <x:c r="D17" t="str">
        <x:v>Provider abstraction وModel routing</x:v>
      </x:c>
      <x:c r="E17" t="str">
        <x:v>تبديل مزود وتسجيل tokens/cost</x:v>
      </x:c>
      <x:c r="F17" t="str">
        <x:v>B012</x:v>
      </x:c>
      <x:c r="G17" t="str">
        <x:v>Backend/AI</x:v>
      </x:c>
      <x:c r="H17" t="n">
        <x:v>13</x:v>
      </x:c>
      <x:c r="I17" t="str">
        <x:v>MVP</x:v>
      </x:c>
      <x:c r="J17" t="str">
        <x:v>لم يبدأ</x:v>
      </x:c>
      <x:c r="K17" t="str"/>
      <x:c r="L17" t="str"/>
      <x:c r="M17" t="str"/>
      <x:c r="N17" t="str"/>
      <x:c r="O17"/>
    </x:row>
    <x:row r="18">
      <x:c r="A18" t="str">
        <x:v>B017</x:v>
      </x:c>
      <x:c r="B18" t="str">
        <x:v>E05</x:v>
      </x:c>
      <x:c r="C18" t="str">
        <x:v>AI</x:v>
      </x:c>
      <x:c r="D18" t="str">
        <x:v>Pipeline للأقسام والتحقق من JSON</x:v>
      </x:c>
      <x:c r="E18" t="str">
        <x:v>حفظ جزئي وإعادة قسم منفرد</x:v>
      </x:c>
      <x:c r="F18" t="str">
        <x:v>B016</x:v>
      </x:c>
      <x:c r="G18" t="str">
        <x:v>Backend/AI</x:v>
      </x:c>
      <x:c r="H18" t="n">
        <x:v>13</x:v>
      </x:c>
      <x:c r="I18" t="str">
        <x:v>MVP</x:v>
      </x:c>
      <x:c r="J18" t="str">
        <x:v>لم يبدأ</x:v>
      </x:c>
      <x:c r="K18" t="str"/>
      <x:c r="L18" t="str"/>
      <x:c r="M18" t="str"/>
      <x:c r="N18" t="str"/>
      <x:c r="O18"/>
    </x:row>
    <x:row r="19">
      <x:c r="A19" t="str">
        <x:v>B018</x:v>
      </x:c>
      <x:c r="B19" t="str">
        <x:v>E05</x:v>
      </x:c>
      <x:c r="C19" t="str">
        <x:v>Realtime</x:v>
      </x:c>
      <x:c r="D19" t="str">
        <x:v>عرض تقدم Run للمستخدم</x:v>
      </x:c>
      <x:c r="E19" t="str">
        <x:v>حالات واضحة وإعادة المحاولة</x:v>
      </x:c>
      <x:c r="F19" t="str">
        <x:v>B017</x:v>
      </x:c>
      <x:c r="G19" t="str">
        <x:v>Full-stack</x:v>
      </x:c>
      <x:c r="H19" t="n">
        <x:v>5</x:v>
      </x:c>
      <x:c r="I19" t="str">
        <x:v>MVP</x:v>
      </x:c>
      <x:c r="J19" t="str">
        <x:v>لم يبدأ</x:v>
      </x:c>
      <x:c r="K19" t="str"/>
      <x:c r="L19" t="str"/>
      <x:c r="M19" t="str"/>
      <x:c r="N19" t="str"/>
      <x:c r="O19"/>
    </x:row>
    <x:row r="20">
      <x:c r="A20" t="str">
        <x:v>B019</x:v>
      </x:c>
      <x:c r="B20" t="str">
        <x:v>E06</x:v>
      </x:c>
      <x:c r="C20" t="str">
        <x:v>Reports</x:v>
      </x:c>
      <x:c r="D20" t="str">
        <x:v>إنشاء تقرير منظم بأقسام</x:v>
      </x:c>
      <x:c r="E20" t="str">
        <x:v>ملخص ودرجة ونتائج وتوصيات وأدلة</x:v>
      </x:c>
      <x:c r="F20" t="str">
        <x:v>B017</x:v>
      </x:c>
      <x:c r="G20" t="str">
        <x:v>Backend/AI</x:v>
      </x:c>
      <x:c r="H20" t="n">
        <x:v>8</x:v>
      </x:c>
      <x:c r="I20" t="str">
        <x:v>MVP</x:v>
      </x:c>
      <x:c r="J20" t="str">
        <x:v>لم يبدأ</x:v>
      </x:c>
      <x:c r="K20" t="str"/>
      <x:c r="L20" t="str"/>
      <x:c r="M20" t="str"/>
      <x:c r="N20" t="str"/>
      <x:c r="O20"/>
    </x:row>
    <x:row r="21">
      <x:c r="A21" t="str">
        <x:v>B020</x:v>
      </x:c>
      <x:c r="B21" t="str">
        <x:v>E06</x:v>
      </x:c>
      <x:c r="C21" t="str">
        <x:v>Reports</x:v>
      </x:c>
      <x:c r="D21" t="str">
        <x:v>عارض التقرير RTL</x:v>
      </x:c>
      <x:c r="E21" t="str">
        <x:v>تنقل بين الأقسام وResponsive</x:v>
      </x:c>
      <x:c r="F21" t="str">
        <x:v>B019</x:v>
      </x:c>
      <x:c r="G21" t="str">
        <x:v>Frontend</x:v>
      </x:c>
      <x:c r="H21" t="n">
        <x:v>8</x:v>
      </x:c>
      <x:c r="I21" t="str">
        <x:v>MVP</x:v>
      </x:c>
      <x:c r="J21" t="str">
        <x:v>لم يبدأ</x:v>
      </x:c>
      <x:c r="K21" t="str"/>
      <x:c r="L21" t="str"/>
      <x:c r="M21" t="str"/>
      <x:c r="N21" t="str"/>
      <x:c r="O21"/>
    </x:row>
    <x:row r="22">
      <x:c r="A22" t="str">
        <x:v>B021</x:v>
      </x:c>
      <x:c r="B22" t="str">
        <x:v>E06</x:v>
      </x:c>
      <x:c r="C22" t="str">
        <x:v>Export</x:v>
      </x:c>
      <x:c r="D22" t="str">
        <x:v>تصدير PDF عربي</x:v>
      </x:c>
      <x:c r="E22" t="str">
        <x:v>لا قص ولا رموز مفقودة</x:v>
      </x:c>
      <x:c r="F22" t="str">
        <x:v>B020</x:v>
      </x:c>
      <x:c r="G22" t="str">
        <x:v>Backend</x:v>
      </x:c>
      <x:c r="H22" t="n">
        <x:v>8</x:v>
      </x:c>
      <x:c r="I22" t="str">
        <x:v>MVP</x:v>
      </x:c>
      <x:c r="J22" t="str">
        <x:v>لم يبدأ</x:v>
      </x:c>
      <x:c r="K22" t="str"/>
      <x:c r="L22" t="str"/>
      <x:c r="M22" t="str"/>
      <x:c r="N22" t="str"/>
      <x:c r="O22"/>
    </x:row>
    <x:row r="23">
      <x:c r="A23" t="str">
        <x:v>B022</x:v>
      </x:c>
      <x:c r="B23" t="str">
        <x:v>E06</x:v>
      </x:c>
      <x:c r="C23" t="str">
        <x:v>Sharing</x:v>
      </x:c>
      <x:c r="D23" t="str">
        <x:v>رابط مشاركة آمن للتقرير</x:v>
      </x:c>
      <x:c r="E23" t="str">
        <x:v>صلاحية وإلغاء الرابط</x:v>
      </x:c>
      <x:c r="F23" t="str">
        <x:v>B020</x:v>
      </x:c>
      <x:c r="G23" t="str">
        <x:v>Backend</x:v>
      </x:c>
      <x:c r="H23" t="n">
        <x:v>5</x:v>
      </x:c>
      <x:c r="I23" t="str">
        <x:v>MVP</x:v>
      </x:c>
      <x:c r="J23" t="str">
        <x:v>لم يبدأ</x:v>
      </x:c>
      <x:c r="K23" t="str"/>
      <x:c r="L23" t="str"/>
      <x:c r="M23" t="str"/>
      <x:c r="N23" t="str"/>
      <x:c r="O23"/>
    </x:row>
    <x:row r="24">
      <x:c r="A24" t="str">
        <x:v>B023</x:v>
      </x:c>
      <x:c r="B24" t="str">
        <x:v>E07</x:v>
      </x:c>
      <x:c r="C24" t="str">
        <x:v>Recommendations</x:v>
      </x:c>
      <x:c r="D24" t="str">
        <x:v>قائمة التوصيات وتأثير/جهد/أولوية</x:v>
      </x:c>
      <x:c r="E24" t="str">
        <x:v>تصفية وتحويل إلى مهمة</x:v>
      </x:c>
      <x:c r="F24" t="str">
        <x:v>B019</x:v>
      </x:c>
      <x:c r="G24" t="str">
        <x:v>Full-stack</x:v>
      </x:c>
      <x:c r="H24" t="n">
        <x:v>5</x:v>
      </x:c>
      <x:c r="I24" t="str">
        <x:v>MVP</x:v>
      </x:c>
      <x:c r="J24" t="str">
        <x:v>لم يبدأ</x:v>
      </x:c>
      <x:c r="K24" t="str"/>
      <x:c r="L24" t="str"/>
      <x:c r="M24" t="str"/>
      <x:c r="N24" t="str"/>
      <x:c r="O24"/>
    </x:row>
    <x:row r="25">
      <x:c r="A25" t="str">
        <x:v>B024</x:v>
      </x:c>
      <x:c r="B25" t="str">
        <x:v>E07</x:v>
      </x:c>
      <x:c r="C25" t="str">
        <x:v>Tasks</x:v>
      </x:c>
      <x:c r="D25" t="str">
        <x:v>إنشاء وتحديث المهام</x:v>
      </x:c>
      <x:c r="E25" t="str">
        <x:v>مسؤول وموعد وحالة وتعليقات</x:v>
      </x:c>
      <x:c r="F25" t="str">
        <x:v>B023</x:v>
      </x:c>
      <x:c r="G25" t="str">
        <x:v>Full-stack</x:v>
      </x:c>
      <x:c r="H25" t="n">
        <x:v>8</x:v>
      </x:c>
      <x:c r="I25" t="str">
        <x:v>MVP</x:v>
      </x:c>
      <x:c r="J25" t="str">
        <x:v>لم يبدأ</x:v>
      </x:c>
      <x:c r="K25" t="str"/>
      <x:c r="L25" t="str"/>
      <x:c r="M25" t="str"/>
      <x:c r="N25" t="str"/>
      <x:c r="O25"/>
    </x:row>
    <x:row r="26">
      <x:c r="A26" t="str">
        <x:v>B025</x:v>
      </x:c>
      <x:c r="B26" t="str">
        <x:v>E07</x:v>
      </x:c>
      <x:c r="C26" t="str">
        <x:v>Roadmap</x:v>
      </x:c>
      <x:c r="D26" t="str">
        <x:v>عرض 7/30/60/90 يوم</x:v>
      </x:c>
      <x:c r="E26" t="str">
        <x:v>تجميع زمني وتقدم</x:v>
      </x:c>
      <x:c r="F26" t="str">
        <x:v>B024</x:v>
      </x:c>
      <x:c r="G26" t="str">
        <x:v>Frontend</x:v>
      </x:c>
      <x:c r="H26" t="n">
        <x:v>5</x:v>
      </x:c>
      <x:c r="I26" t="str">
        <x:v>MVP</x:v>
      </x:c>
      <x:c r="J26" t="str">
        <x:v>لم يبدأ</x:v>
      </x:c>
      <x:c r="K26" t="str"/>
      <x:c r="L26" t="str"/>
      <x:c r="M26" t="str"/>
      <x:c r="N26" t="str"/>
      <x:c r="O26"/>
    </x:row>
    <x:row r="27">
      <x:c r="A27" t="str">
        <x:v>B026</x:v>
      </x:c>
      <x:c r="B27" t="str">
        <x:v>E08</x:v>
      </x:c>
      <x:c r="C27" t="str">
        <x:v>Plans</x:v>
      </x:c>
      <x:c r="D27" t="str">
        <x:v>تعريف الخطط والاستحقاقات</x:v>
      </x:c>
      <x:c r="E27" t="str">
        <x:v>حدود مشاريع وأرصدة وخصائص</x:v>
      </x:c>
      <x:c r="F27" t="str">
        <x:v>—</x:v>
      </x:c>
      <x:c r="G27" t="str">
        <x:v>Backend</x:v>
      </x:c>
      <x:c r="H27" t="n">
        <x:v>5</x:v>
      </x:c>
      <x:c r="I27" t="str">
        <x:v>MVP</x:v>
      </x:c>
      <x:c r="J27" t="str">
        <x:v>لم يبدأ</x:v>
      </x:c>
      <x:c r="K27" t="str"/>
      <x:c r="L27" t="str"/>
      <x:c r="M27" t="str"/>
      <x:c r="N27" t="str"/>
      <x:c r="O27"/>
    </x:row>
    <x:row r="28">
      <x:c r="A28" t="str">
        <x:v>B027</x:v>
      </x:c>
      <x:c r="B28" t="str">
        <x:v>E08</x:v>
      </x:c>
      <x:c r="C28" t="str">
        <x:v>Checkout</x:v>
      </x:c>
      <x:c r="D28" t="str">
        <x:v>صفحة تسعير وبدء دفع</x:v>
      </x:c>
      <x:c r="E28" t="str">
        <x:v>شهري/سنوي وكوبون</x:v>
      </x:c>
      <x:c r="F28" t="str">
        <x:v>B026</x:v>
      </x:c>
      <x:c r="G28" t="str">
        <x:v>Full-stack</x:v>
      </x:c>
      <x:c r="H28" t="n">
        <x:v>8</x:v>
      </x:c>
      <x:c r="I28" t="str">
        <x:v>MVP</x:v>
      </x:c>
      <x:c r="J28" t="str">
        <x:v>لم يبدأ</x:v>
      </x:c>
      <x:c r="K28" t="str"/>
      <x:c r="L28" t="str"/>
      <x:c r="M28" t="str"/>
      <x:c r="N28" t="str"/>
      <x:c r="O28"/>
    </x:row>
    <x:row r="29">
      <x:c r="A29" t="str">
        <x:v>B028</x:v>
      </x:c>
      <x:c r="B29" t="str">
        <x:v>E08</x:v>
      </x:c>
      <x:c r="C29" t="str">
        <x:v>Payments</x:v>
      </x:c>
      <x:c r="D29" t="str">
        <x:v>Webhook وتحديث الاشتراك</x:v>
      </x:c>
      <x:c r="E29" t="str">
        <x:v>Idempotency وفشل وتجديد وإلغاء</x:v>
      </x:c>
      <x:c r="F29" t="str">
        <x:v>B027</x:v>
      </x:c>
      <x:c r="G29" t="str">
        <x:v>Backend</x:v>
      </x:c>
      <x:c r="H29" t="n">
        <x:v>8</x:v>
      </x:c>
      <x:c r="I29" t="str">
        <x:v>MVP</x:v>
      </x:c>
      <x:c r="J29" t="str">
        <x:v>لم يبدأ</x:v>
      </x:c>
      <x:c r="K29" t="str"/>
      <x:c r="L29" t="str"/>
      <x:c r="M29" t="str"/>
      <x:c r="N29" t="str"/>
      <x:c r="O29"/>
    </x:row>
    <x:row r="30">
      <x:c r="A30" t="str">
        <x:v>B029</x:v>
      </x:c>
      <x:c r="B30" t="str">
        <x:v>E08</x:v>
      </x:c>
      <x:c r="C30" t="str">
        <x:v>Invoices</x:v>
      </x:c>
      <x:c r="D30" t="str">
        <x:v>سجل فواتير وحالة الدفع</x:v>
      </x:c>
      <x:c r="E30" t="str">
        <x:v>عرض وتنزيل بيانات الفاتورة</x:v>
      </x:c>
      <x:c r="F30" t="str">
        <x:v>B028</x:v>
      </x:c>
      <x:c r="G30" t="str">
        <x:v>Backend</x:v>
      </x:c>
      <x:c r="H30" t="n">
        <x:v>3</x:v>
      </x:c>
      <x:c r="I30" t="str">
        <x:v>MVP</x:v>
      </x:c>
      <x:c r="J30" t="str">
        <x:v>لم يبدأ</x:v>
      </x:c>
      <x:c r="K30" t="str"/>
      <x:c r="L30" t="str"/>
      <x:c r="M30" t="str"/>
      <x:c r="N30" t="str"/>
      <x:c r="O30"/>
    </x:row>
    <x:row r="31">
      <x:c r="A31" t="str">
        <x:v>B030</x:v>
      </x:c>
      <x:c r="B31" t="str">
        <x:v>E08</x:v>
      </x:c>
      <x:c r="C31" t="str">
        <x:v>Credits</x:v>
      </x:c>
      <x:c r="D31" t="str">
        <x:v>محفظة الرصيد والحركات والحزم</x:v>
      </x:c>
      <x:c r="E31" t="str">
        <x:v>رصيد دقيق وسجل غير قابل للتلاعب</x:v>
      </x:c>
      <x:c r="F31" t="str">
        <x:v>B026</x:v>
      </x:c>
      <x:c r="G31" t="str">
        <x:v>Backend</x:v>
      </x:c>
      <x:c r="H31" t="n">
        <x:v>8</x:v>
      </x:c>
      <x:c r="I31" t="str">
        <x:v>MVP</x:v>
      </x:c>
      <x:c r="J31" t="str">
        <x:v>لم يبدأ</x:v>
      </x:c>
      <x:c r="K31" t="str"/>
      <x:c r="L31" t="str"/>
      <x:c r="M31" t="str"/>
      <x:c r="N31" t="str"/>
      <x:c r="O31"/>
    </x:row>
    <x:row r="32">
      <x:c r="A32" t="str">
        <x:v>B031</x:v>
      </x:c>
      <x:c r="B32" t="str">
        <x:v>E09</x:v>
      </x:c>
      <x:c r="C32" t="str">
        <x:v>Admin</x:v>
      </x:c>
      <x:c r="D32" t="str">
        <x:v>لوحة المستخدمين والمشاريع وRuns</x:v>
      </x:c>
      <x:c r="E32" t="str">
        <x:v>بحث وتصفية ودعم</x:v>
      </x:c>
      <x:c r="F32" t="str">
        <x:v>B006,B012</x:v>
      </x:c>
      <x:c r="G32" t="str">
        <x:v>Backend</x:v>
      </x:c>
      <x:c r="H32" t="n">
        <x:v>5</x:v>
      </x:c>
      <x:c r="I32" t="str">
        <x:v>MVP</x:v>
      </x:c>
      <x:c r="J32" t="str">
        <x:v>لم يبدأ</x:v>
      </x:c>
      <x:c r="K32" t="str"/>
      <x:c r="L32" t="str"/>
      <x:c r="M32" t="str"/>
      <x:c r="N32" t="str"/>
      <x:c r="O32"/>
    </x:row>
    <x:row r="33">
      <x:c r="A33" t="str">
        <x:v>B032</x:v>
      </x:c>
      <x:c r="B33" t="str">
        <x:v>E09</x:v>
      </x:c>
      <x:c r="C33" t="str">
        <x:v>Admin</x:v>
      </x:c>
      <x:c r="D33" t="str">
        <x:v>Prompt Versioning واختبار ونشر</x:v>
      </x:c>
      <x:c r="E33" t="str">
        <x:v>Rollback وسجل تغييرات</x:v>
      </x:c>
      <x:c r="F33" t="str">
        <x:v>B011</x:v>
      </x:c>
      <x:c r="G33" t="str">
        <x:v>Backend/AI</x:v>
      </x:c>
      <x:c r="H33" t="n">
        <x:v>8</x:v>
      </x:c>
      <x:c r="I33" t="str">
        <x:v>MVP</x:v>
      </x:c>
      <x:c r="J33" t="str">
        <x:v>لم يبدأ</x:v>
      </x:c>
      <x:c r="K33" t="str"/>
      <x:c r="L33" t="str"/>
      <x:c r="M33" t="str"/>
      <x:c r="N33" t="str"/>
      <x:c r="O33"/>
    </x:row>
    <x:row r="34">
      <x:c r="A34" t="str">
        <x:v>B033</x:v>
      </x:c>
      <x:c r="B34" t="str">
        <x:v>E09</x:v>
      </x:c>
      <x:c r="C34" t="str">
        <x:v>Analytics</x:v>
      </x:c>
      <x:c r="D34" t="str">
        <x:v>لوحة تكلفة AI والأخطاء والزمن</x:v>
      </x:c>
      <x:c r="E34" t="str">
        <x:v>حسب الأداة والنموذج والخطة</x:v>
      </x:c>
      <x:c r="F34" t="str">
        <x:v>B016</x:v>
      </x:c>
      <x:c r="G34" t="str">
        <x:v>Data/Backend</x:v>
      </x:c>
      <x:c r="H34" t="n">
        <x:v>8</x:v>
      </x:c>
      <x:c r="I34" t="str">
        <x:v>MVP</x:v>
      </x:c>
      <x:c r="J34" t="str">
        <x:v>لم يبدأ</x:v>
      </x:c>
      <x:c r="K34" t="str"/>
      <x:c r="L34" t="str"/>
      <x:c r="M34" t="str"/>
      <x:c r="N34" t="str"/>
      <x:c r="O34"/>
    </x:row>
    <x:row r="35">
      <x:c r="A35" t="str">
        <x:v>B034</x:v>
      </x:c>
      <x:c r="B35" t="str">
        <x:v>E17</x:v>
      </x:c>
      <x:c r="C35" t="str">
        <x:v>Security</x:v>
      </x:c>
      <x:c r="D35" t="str">
        <x:v>Policies وعزل Workspace</x:v>
      </x:c>
      <x:c r="E35" t="str">
        <x:v>منع IDOR واختبارات صلاحيات</x:v>
      </x:c>
      <x:c r="F35" t="str">
        <x:v>B006</x:v>
      </x:c>
      <x:c r="G35" t="str">
        <x:v>Backend/QA</x:v>
      </x:c>
      <x:c r="H35" t="n">
        <x:v>8</x:v>
      </x:c>
      <x:c r="I35" t="str">
        <x:v>MVP</x:v>
      </x:c>
      <x:c r="J35" t="str">
        <x:v>لم يبدأ</x:v>
      </x:c>
      <x:c r="K35" t="str"/>
      <x:c r="L35" t="str"/>
      <x:c r="M35" t="str"/>
      <x:c r="N35" t="str"/>
      <x:c r="O35"/>
    </x:row>
    <x:row r="36">
      <x:c r="A36" t="str">
        <x:v>B035</x:v>
      </x:c>
      <x:c r="B36" t="str">
        <x:v>E17</x:v>
      </x:c>
      <x:c r="C36" t="str">
        <x:v>Privacy</x:v>
      </x:c>
      <x:c r="D36" t="str">
        <x:v>حذف الحساب وتصدير البيانات</x:v>
      </x:c>
      <x:c r="E36" t="str">
        <x:v>تدفق موثق وسياسة احتفاظ</x:v>
      </x:c>
      <x:c r="F36" t="str">
        <x:v>B006</x:v>
      </x:c>
      <x:c r="G36" t="str">
        <x:v>Backend</x:v>
      </x:c>
      <x:c r="H36" t="n">
        <x:v>5</x:v>
      </x:c>
      <x:c r="I36" t="str">
        <x:v>MVP</x:v>
      </x:c>
      <x:c r="J36" t="str">
        <x:v>لم يبدأ</x:v>
      </x:c>
      <x:c r="K36" t="str"/>
      <x:c r="L36" t="str"/>
      <x:c r="M36" t="str"/>
      <x:c r="N36" t="str"/>
      <x:c r="O36"/>
    </x:row>
    <x:row r="37">
      <x:c r="A37" t="str">
        <x:v>B036</x:v>
      </x:c>
      <x:c r="B37" t="str">
        <x:v>E17</x:v>
      </x:c>
      <x:c r="C37" t="str">
        <x:v>Files</x:v>
      </x:c>
      <x:c r="D37" t="str">
        <x:v>روابط موقعة وفحص الملفات</x:v>
      </x:c>
      <x:c r="E37" t="str">
        <x:v>انتهاء صلاحية ورفض ملفات خطرة</x:v>
      </x:c>
      <x:c r="F37" t="str">
        <x:v>B014</x:v>
      </x:c>
      <x:c r="G37" t="str">
        <x:v>Backend</x:v>
      </x:c>
      <x:c r="H37" t="n">
        <x:v>5</x:v>
      </x:c>
      <x:c r="I37" t="str">
        <x:v>MVP</x:v>
      </x:c>
      <x:c r="J37" t="str">
        <x:v>لم يبدأ</x:v>
      </x:c>
      <x:c r="K37" t="str"/>
      <x:c r="L37" t="str"/>
      <x:c r="M37" t="str"/>
      <x:c r="N37" t="str"/>
      <x:c r="O37"/>
    </x:row>
    <x:row r="38">
      <x:c r="A38" t="str">
        <x:v>B037</x:v>
      </x:c>
      <x:c r="B38" t="str">
        <x:v>E10</x:v>
      </x:c>
      <x:c r="C38" t="str">
        <x:v>Referrals</x:v>
      </x:c>
      <x:c r="D38" t="str">
        <x:v>رمز إحالة ومكافآت</x:v>
      </x:c>
      <x:c r="E38" t="str">
        <x:v>منع الاحتيال وشرط استحقاق</x:v>
      </x:c>
      <x:c r="F38" t="str">
        <x:v>B030</x:v>
      </x:c>
      <x:c r="G38" t="str">
        <x:v>Backend</x:v>
      </x:c>
      <x:c r="H38" t="n">
        <x:v>8</x:v>
      </x:c>
      <x:c r="I38" t="str">
        <x:v>1.5</x:v>
      </x:c>
      <x:c r="J38" t="str">
        <x:v>لم يبدأ</x:v>
      </x:c>
      <x:c r="K38" t="str"/>
      <x:c r="L38" t="str"/>
      <x:c r="M38" t="str"/>
      <x:c r="N38" t="str"/>
      <x:c r="O38"/>
    </x:row>
    <x:row r="39">
      <x:c r="A39" t="str">
        <x:v>B038</x:v>
      </x:c>
      <x:c r="B39" t="str">
        <x:v>E10</x:v>
      </x:c>
      <x:c r="C39" t="str">
        <x:v>SEO</x:v>
      </x:c>
      <x:c r="D39" t="str">
        <x:v>Marketing Score مجاني</x:v>
      </x:c>
      <x:c r="E39" t="str">
        <x:v>نتيجة سريعة وCTA للحفظ</x:v>
      </x:c>
      <x:c r="F39" t="str">
        <x:v>B019</x:v>
      </x:c>
      <x:c r="G39" t="str">
        <x:v>Full-stack/AI</x:v>
      </x:c>
      <x:c r="H39" t="n">
        <x:v>8</x:v>
      </x:c>
      <x:c r="I39" t="str">
        <x:v>1.5</x:v>
      </x:c>
      <x:c r="J39" t="str">
        <x:v>لم يبدأ</x:v>
      </x:c>
      <x:c r="K39" t="str"/>
      <x:c r="L39" t="str"/>
      <x:c r="M39" t="str"/>
      <x:c r="N39" t="str"/>
      <x:c r="O39"/>
    </x:row>
    <x:row r="40">
      <x:c r="A40" t="str">
        <x:v>B039</x:v>
      </x:c>
      <x:c r="B40" t="str">
        <x:v>E11</x:v>
      </x:c>
      <x:c r="C40" t="str">
        <x:v>Ads</x:v>
      </x:c>
      <x:c r="D40" t="str">
        <x:v>تعريف Ad Slots وحملات</x:v>
      </x:c>
      <x:c r="E40" t="str">
        <x:v>قياس impression/click وخطط مدفوعة بلا إعلانات</x:v>
      </x:c>
      <x:c r="F40" t="str">
        <x:v>B026</x:v>
      </x:c>
      <x:c r="G40" t="str">
        <x:v>Full-stack</x:v>
      </x:c>
      <x:c r="H40" t="n">
        <x:v>8</x:v>
      </x:c>
      <x:c r="I40" t="str">
        <x:v>1.5</x:v>
      </x:c>
      <x:c r="J40" t="str">
        <x:v>لم يبدأ</x:v>
      </x:c>
      <x:c r="K40" t="str"/>
      <x:c r="L40" t="str"/>
      <x:c r="M40" t="str"/>
      <x:c r="N40" t="str"/>
      <x:c r="O40"/>
    </x:row>
    <x:row r="41">
      <x:c r="A41" t="str">
        <x:v>B040</x:v>
      </x:c>
      <x:c r="B41" t="str">
        <x:v>E12</x:v>
      </x:c>
      <x:c r="C41" t="str">
        <x:v>KPI</x:v>
      </x:c>
      <x:c r="D41" t="str">
        <x:v>تعريف مؤشرات وقراءات تاريخية</x:v>
      </x:c>
      <x:c r="E41" t="str">
        <x:v>هدف واتجاه ونسبة إنجاز</x:v>
      </x:c>
      <x:c r="F41" t="str">
        <x:v>B009</x:v>
      </x:c>
      <x:c r="G41" t="str">
        <x:v>Full-stack</x:v>
      </x:c>
      <x:c r="H41" t="n">
        <x:v>8</x:v>
      </x:c>
      <x:c r="I41" t="str">
        <x:v>1.5</x:v>
      </x:c>
      <x:c r="J41" t="str">
        <x:v>لم يبدأ</x:v>
      </x:c>
      <x:c r="K41" t="str"/>
      <x:c r="L41" t="str"/>
      <x:c r="M41" t="str"/>
      <x:c r="N41" t="str"/>
      <x:c r="O41"/>
    </x:row>
    <x:row r="42">
      <x:c r="A42" t="str">
        <x:v>B041</x:v>
      </x:c>
      <x:c r="B42" t="str">
        <x:v>E12</x:v>
      </x:c>
      <x:c r="C42" t="str">
        <x:v>Review</x:v>
      </x:c>
      <x:c r="D42" t="str">
        <x:v>مراجعة شهرية ومقارنة تقريرين</x:v>
      </x:c>
      <x:c r="E42" t="str">
        <x:v>تحسن/تراجع وتوصيات جديدة</x:v>
      </x:c>
      <x:c r="F42" t="str">
        <x:v>B019,B040</x:v>
      </x:c>
      <x:c r="G42" t="str">
        <x:v>Backend/AI</x:v>
      </x:c>
      <x:c r="H42" t="n">
        <x:v>13</x:v>
      </x:c>
      <x:c r="I42" t="str">
        <x:v>1.5</x:v>
      </x:c>
      <x:c r="J42" t="str">
        <x:v>لم يبدأ</x:v>
      </x:c>
      <x:c r="K42" t="str"/>
      <x:c r="L42" t="str"/>
      <x:c r="M42" t="str"/>
      <x:c r="N42" t="str"/>
      <x:c r="O42"/>
    </x:row>
    <x:row r="43">
      <x:c r="A43" t="str">
        <x:v>B042</x:v>
      </x:c>
      <x:c r="B43" t="str">
        <x:v>E13</x:v>
      </x:c>
      <x:c r="C43" t="str">
        <x:v>Teams</x:v>
      </x:c>
      <x:c r="D43" t="str">
        <x:v>دعوات وأدوار وصلاحيات</x:v>
      </x:c>
      <x:c r="E43" t="str">
        <x:v>Owner/Admin/Member/Viewer</x:v>
      </x:c>
      <x:c r="F43" t="str">
        <x:v>B006</x:v>
      </x:c>
      <x:c r="G43" t="str">
        <x:v>Full-stack</x:v>
      </x:c>
      <x:c r="H43" t="n">
        <x:v>13</x:v>
      </x:c>
      <x:c r="I43" t="str">
        <x:v>2.0</x:v>
      </x:c>
      <x:c r="J43" t="str">
        <x:v>لم يبدأ</x:v>
      </x:c>
      <x:c r="K43" t="str"/>
      <x:c r="L43" t="str"/>
      <x:c r="M43" t="str"/>
      <x:c r="N43" t="str"/>
      <x:c r="O43"/>
    </x:row>
    <x:row r="44">
      <x:c r="A44" t="str">
        <x:v>B043</x:v>
      </x:c>
      <x:c r="B44" t="str">
        <x:v>E14</x:v>
      </x:c>
      <x:c r="C44" t="str">
        <x:v>Flutter</x:v>
      </x:c>
      <x:c r="D44" t="str">
        <x:v>أساس التطبيق والمصادقة والمشاريع</x:v>
      </x:c>
      <x:c r="E44" t="str">
        <x:v>نفس Entitlements وAPI</x:v>
      </x:c>
      <x:c r="F44" t="str">
        <x:v>API stable</x:v>
      </x:c>
      <x:c r="G44" t="str">
        <x:v>Flutter</x:v>
      </x:c>
      <x:c r="H44" t="n">
        <x:v>13</x:v>
      </x:c>
      <x:c r="I44" t="str">
        <x:v>2.0</x:v>
      </x:c>
      <x:c r="J44" t="str">
        <x:v>لم يبدأ</x:v>
      </x:c>
      <x:c r="K44" t="str"/>
      <x:c r="L44" t="str"/>
      <x:c r="M44" t="str"/>
      <x:c r="N44" t="str"/>
      <x:c r="O44"/>
    </x:row>
    <x:row r="45">
      <x:c r="A45" t="str">
        <x:v>B044</x:v>
      </x:c>
      <x:c r="B45" t="str">
        <x:v>E14</x:v>
      </x:c>
      <x:c r="C45" t="str">
        <x:v>Flutter</x:v>
      </x:c>
      <x:c r="D45" t="str">
        <x:v>التقارير والمهام والإشعارات</x:v>
      </x:c>
      <x:c r="E45" t="str">
        <x:v>قراءة وتحديث ومزامنة</x:v>
      </x:c>
      <x:c r="F45" t="str">
        <x:v>B043</x:v>
      </x:c>
      <x:c r="G45" t="str">
        <x:v>Flutter</x:v>
      </x:c>
      <x:c r="H45" t="n">
        <x:v>13</x:v>
      </x:c>
      <x:c r="I45" t="str">
        <x:v>2.0</x:v>
      </x:c>
      <x:c r="J45" t="str">
        <x:v>لم يبدأ</x:v>
      </x:c>
      <x:c r="K45" t="str"/>
      <x:c r="L45" t="str"/>
      <x:c r="M45" t="str"/>
      <x:c r="N45" t="str"/>
      <x:c r="O45"/>
    </x:row>
    <x:row r="46">
      <x:c r="A46" t="str">
        <x:v>B045</x:v>
      </x:c>
      <x:c r="B46" t="str">
        <x:v>E15</x:v>
      </x:c>
      <x:c r="C46" t="str">
        <x:v>Agency</x:v>
      </x:c>
      <x:c r="D46" t="str">
        <x:v>White Label للتقارير</x:v>
      </x:c>
      <x:c r="E46" t="str">
        <x:v>شعار وألوان ونطاق لاحقاً</x:v>
      </x:c>
      <x:c r="F46" t="str">
        <x:v>B042</x:v>
      </x:c>
      <x:c r="G46" t="str">
        <x:v>Full-stack</x:v>
      </x:c>
      <x:c r="H46" t="n">
        <x:v>13</x:v>
      </x:c>
      <x:c r="I46" t="str">
        <x:v>3.0</x:v>
      </x:c>
      <x:c r="J46" t="str">
        <x:v>لم يبدأ</x:v>
      </x:c>
      <x:c r="K46" t="str"/>
      <x:c r="L46" t="str"/>
      <x:c r="M46" t="str"/>
      <x:c r="N46" t="str"/>
      <x:c r="O46"/>
    </x:row>
    <x:row r="47">
      <x:c r="A47" t="str">
        <x:v>B046</x:v>
      </x:c>
      <x:c r="B47" t="str">
        <x:v>E15</x:v>
      </x:c>
      <x:c r="C47" t="str">
        <x:v>Client Portal</x:v>
      </x:c>
      <x:c r="D47" t="str">
        <x:v>بوابة عميل للمشاهدة والتعليق</x:v>
      </x:c>
      <x:c r="E47" t="str">
        <x:v>صلاحيات Viewer وروابط</x:v>
      </x:c>
      <x:c r="F47" t="str">
        <x:v>B045</x:v>
      </x:c>
      <x:c r="G47" t="str">
        <x:v>Full-stack</x:v>
      </x:c>
      <x:c r="H47" t="n">
        <x:v>13</x:v>
      </x:c>
      <x:c r="I47" t="str">
        <x:v>3.0</x:v>
      </x:c>
      <x:c r="J47" t="str">
        <x:v>لم يبدأ</x:v>
      </x:c>
      <x:c r="K47" t="str"/>
      <x:c r="L47" t="str"/>
      <x:c r="M47" t="str"/>
      <x:c r="N47" t="str"/>
      <x:c r="O47"/>
    </x:row>
    <x:row r="48">
      <x:c r="A48" t="str">
        <x:v>B047</x:v>
      </x:c>
      <x:c r="B48" t="str">
        <x:v>E16</x:v>
      </x:c>
      <x:c r="C48" t="str">
        <x:v>Integrations</x:v>
      </x:c>
      <x:c r="D48" t="str">
        <x:v>تكامل Google Analytics/Search Console</x:v>
      </x:c>
      <x:c r="E48" t="str">
        <x:v>OAuth واستيراد بيانات</x:v>
      </x:c>
      <x:c r="F48" t="str">
        <x:v>B040</x:v>
      </x:c>
      <x:c r="G48" t="str">
        <x:v>Backend</x:v>
      </x:c>
      <x:c r="H48" t="n">
        <x:v>13</x:v>
      </x:c>
      <x:c r="I48" t="str">
        <x:v>3.0</x:v>
      </x:c>
      <x:c r="J48" t="str">
        <x:v>لم يبدأ</x:v>
      </x:c>
      <x:c r="K48" t="str"/>
      <x:c r="L48" t="str"/>
      <x:c r="M48" t="str"/>
      <x:c r="N48" t="str"/>
      <x:c r="O48"/>
    </x:row>
  </x:sheetData>
  <x:conditionalFormatting sqref="I2:I48">
    <x:cfRule type="dataBar" priority="1">
      <x:dataBar>
        <x:cfvo type="min"/>
        <x:cfvo type="max"/>
        <x:color rgb="FF486581"/>
      </x:dataBar>
      <x:extLst>
        <x:ext xmlns:x14="http://schemas.microsoft.com/office/spreadsheetml/2009/9/main" uri="{B025F937-C7B1-47D3-B67F-A62EFF666E3E}">
          <x14:id>{9F45C56D-E036-934D-9FE8-71AD454E927B}</x14:id>
        </x:ext>
      </x:extLst>
    </x:cfRule>
  </x:conditionalFormatting>
  <x:conditionalFormatting sqref="K2:K48">
    <x:cfRule type="expression" dxfId="0" priority="2">
      <x:formula>K2="مكتمل"</x:formula>
    </x:cfRule>
    <x:cfRule type="expression" dxfId="1" priority="3">
      <x:formula>K2="متوقف"</x:formula>
    </x:cfRule>
  </x:conditionalFormatting>
  <x:dataValidations count="2">
    <x:dataValidation type="list" sqref="H2:H48">
      <x:formula1>"Must,Should,Could,Later"</x:formula1>
    </x:dataValidation>
    <x:dataValidation type="list" sqref="K2:K48">
      <x:formula1>"لم يبدأ,قيد التنفيذ,مراجعة,مكتمل,متوقف"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3bc22bf284ba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9F45C56D-E036-934D-9FE8-71AD454E927B}">
            <x14:dataBar gradient="1">
              <x14:cfvo type="min"/>
              <x14:cfvo type="max"/>
              <x14:fillColor rgb="FF486581"/>
            </x14:dataBar>
          </x14:cfRule>
          <xm:sqref>I2:I48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4" hidden="0" customWidth="1"/>
    <x:col min="4" max="4" width="18" hidden="0" customWidth="1"/>
    <x:col min="5" max="5" width="44" hidden="0" customWidth="1"/>
    <x:col min="6" max="6" width="24" hidden="0" customWidth="1"/>
  </x:cols>
  <x:sheetData>
    <x:row r="1">
      <x:c r="A1" s="14" t="str">
        <x:v>ID</x:v>
      </x:c>
      <x:c r="B1" s="14" t="str">
        <x:v>المنصة/الوحدة</x:v>
      </x:c>
      <x:c r="C1" s="14" t="str">
        <x:v>الشاشة</x:v>
      </x:c>
      <x:c r="D1" s="14" t="str">
        <x:v>المستخدم</x:v>
      </x:c>
      <x:c r="E1" s="14" t="str">
        <x:v>العناصر الأساسية</x:v>
      </x:c>
      <x:c r="F1" s="14" t="str">
        <x:v>الوجهة التالية</x:v>
      </x:c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WEB-001</x:v>
      </x:c>
      <x:c r="B2" t="str">
        <x:v>عام</x:v>
      </x:c>
      <x:c r="C2" t="str">
        <x:v>الرئيسية</x:v>
      </x:c>
      <x:c r="D2" t="str">
        <x:v>زائر</x:v>
      </x:c>
      <x:c r="E2" t="str">
        <x:v>قيمة، أدوات، نماذج، CTA</x:v>
      </x:c>
      <x:c r="F2" t="str">
        <x:v>التسجيل/التدقيق</x:v>
      </x:c>
    </x:row>
    <x:row r="3">
      <x:c r="A3" t="str">
        <x:v>WEB-002</x:v>
      </x:c>
      <x:c r="B3" t="str">
        <x:v>عام</x:v>
      </x:c>
      <x:c r="C3" t="str">
        <x:v>الأدوات</x:v>
      </x:c>
      <x:c r="D3" t="str">
        <x:v>زائر/مستخدم</x:v>
      </x:c>
      <x:c r="E3" t="str">
        <x:v>تصنيفات وبحث</x:v>
      </x:c>
      <x:c r="F3" t="str">
        <x:v>تفاصيل أداة</x:v>
      </x:c>
    </x:row>
    <x:row r="4">
      <x:c r="A4" t="str">
        <x:v>APP-001</x:v>
      </x:c>
      <x:c r="B4" t="str">
        <x:v>لوحة</x:v>
      </x:c>
      <x:c r="C4" t="str">
        <x:v>الرئيسية</x:v>
      </x:c>
      <x:c r="D4" t="str">
        <x:v>مستخدم</x:v>
      </x:c>
      <x:c r="E4" t="str">
        <x:v>المشاريع والاستخدام والتنبيهات</x:v>
      </x:c>
      <x:c r="F4" t="str">
        <x:v>مشروع/أداة</x:v>
      </x:c>
    </x:row>
    <x:row r="5">
      <x:c r="A5" t="str">
        <x:v>APP-002</x:v>
      </x:c>
      <x:c r="B5" t="str">
        <x:v>مشاريع</x:v>
      </x:c>
      <x:c r="C5" t="str">
        <x:v>قائمة المشاريع</x:v>
      </x:c>
      <x:c r="D5" t="str">
        <x:v>مستخدم</x:v>
      </x:c>
      <x:c r="E5" t="str">
        <x:v>بحث، إنشاء، حدود الخطة</x:v>
      </x:c>
      <x:c r="F5" t="str">
        <x:v>إنشاء مشروع</x:v>
      </x:c>
    </x:row>
    <x:row r="6">
      <x:c r="A6" t="str">
        <x:v>APP-003</x:v>
      </x:c>
      <x:c r="B6" t="str">
        <x:v>مشاريع</x:v>
      </x:c>
      <x:c r="C6" t="str">
        <x:v>معالج المشروع</x:v>
      </x:c>
      <x:c r="D6" t="str">
        <x:v>مستخدم</x:v>
      </x:c>
      <x:c r="E6" t="str">
        <x:v>خطوات وحفظ تلقائي</x:v>
      </x:c>
      <x:c r="F6" t="str">
        <x:v>نظرة المشروع</x:v>
      </x:c>
    </x:row>
    <x:row r="7">
      <x:c r="A7" t="str">
        <x:v>APP-004</x:v>
      </x:c>
      <x:c r="B7" t="str">
        <x:v>مشاريع</x:v>
      </x:c>
      <x:c r="C7" t="str">
        <x:v>نظرة المشروع</x:v>
      </x:c>
      <x:c r="D7" t="str">
        <x:v>مستخدم</x:v>
      </x:c>
      <x:c r="E7" t="str">
        <x:v>درجة وتقارير ومهام وKPIs</x:v>
      </x:c>
      <x:c r="F7" t="str">
        <x:v>تفاصيل الوحدات</x:v>
      </x:c>
    </x:row>
    <x:row r="8">
      <x:c r="A8" t="str">
        <x:v>APP-005</x:v>
      </x:c>
      <x:c r="B8" t="str">
        <x:v>أدوات</x:v>
      </x:c>
      <x:c r="C8" t="str">
        <x:v>تفاصيل الأداة</x:v>
      </x:c>
      <x:c r="D8" t="str">
        <x:v>مستخدم</x:v>
      </x:c>
      <x:c r="E8" t="str">
        <x:v>المدخلات والمخرجات والرصيد</x:v>
      </x:c>
      <x:c r="F8" t="str">
        <x:v>تشغيل</x:v>
      </x:c>
    </x:row>
    <x:row r="9">
      <x:c r="A9" t="str">
        <x:v>APP-006</x:v>
      </x:c>
      <x:c r="B9" t="str">
        <x:v>تشغيل</x:v>
      </x:c>
      <x:c r="C9" t="str">
        <x:v>المعالج</x:v>
      </x:c>
      <x:c r="D9" t="str">
        <x:v>مستخدم</x:v>
      </x:c>
      <x:c r="E9" t="str">
        <x:v>حقول وملفات وروابط</x:v>
      </x:c>
      <x:c r="F9" t="str">
        <x:v>مراجعة</x:v>
      </x:c>
    </x:row>
    <x:row r="10">
      <x:c r="A10" t="str">
        <x:v>APP-007</x:v>
      </x:c>
      <x:c r="B10" t="str">
        <x:v>تشغيل</x:v>
      </x:c>
      <x:c r="C10" t="str">
        <x:v>مراجعة قبل التنفيذ</x:v>
      </x:c>
      <x:c r="D10" t="str">
        <x:v>مستخدم</x:v>
      </x:c>
      <x:c r="E10" t="str">
        <x:v>النواقص والافتراضات والتكلفة</x:v>
      </x:c>
      <x:c r="F10" t="str">
        <x:v>التنفيذ</x:v>
      </x:c>
    </x:row>
    <x:row r="11">
      <x:c r="A11" t="str">
        <x:v>APP-008</x:v>
      </x:c>
      <x:c r="B11" t="str">
        <x:v>تشغيل</x:v>
      </x:c>
      <x:c r="C11" t="str">
        <x:v>تقدم التنفيذ</x:v>
      </x:c>
      <x:c r="D11" t="str">
        <x:v>مستخدم</x:v>
      </x:c>
      <x:c r="E11" t="str">
        <x:v>حالات ومراحل</x:v>
      </x:c>
      <x:c r="F11" t="str">
        <x:v>التقرير</x:v>
      </x:c>
    </x:row>
    <x:row r="12">
      <x:c r="A12" t="str">
        <x:v>APP-009</x:v>
      </x:c>
      <x:c r="B12" t="str">
        <x:v>تقارير</x:v>
      </x:c>
      <x:c r="C12" t="str">
        <x:v>عارض التقرير</x:v>
      </x:c>
      <x:c r="D12" t="str">
        <x:v>مستخدم/عميل</x:v>
      </x:c>
      <x:c r="E12" t="str">
        <x:v>ملخص وأقسام وأدلة</x:v>
      </x:c>
      <x:c r="F12" t="str">
        <x:v>مهام/تصدير</x:v>
      </x:c>
    </x:row>
    <x:row r="13">
      <x:c r="A13" t="str">
        <x:v>APP-010</x:v>
      </x:c>
      <x:c r="B13" t="str">
        <x:v>تنفيذ</x:v>
      </x:c>
      <x:c r="C13" t="str">
        <x:v>لوحة المهام</x:v>
      </x:c>
      <x:c r="D13" t="str">
        <x:v>فريق</x:v>
      </x:c>
      <x:c r="E13" t="str">
        <x:v>Kanban وقائمة</x:v>
      </x:c>
      <x:c r="F13" t="str">
        <x:v>تفاصيل مهمة</x:v>
      </x:c>
    </x:row>
    <x:row r="14">
      <x:c r="A14" t="str">
        <x:v>APP-011</x:v>
      </x:c>
      <x:c r="B14" t="str">
        <x:v>مؤشرات</x:v>
      </x:c>
      <x:c r="C14" t="str">
        <x:v>لوحة KPIs</x:v>
      </x:c>
      <x:c r="D14" t="str">
        <x:v>مدير</x:v>
      </x:c>
      <x:c r="E14" t="str">
        <x:v>هدف واتجاه وقراءات</x:v>
      </x:c>
      <x:c r="F14" t="str">
        <x:v>إضافة قراءة</x:v>
      </x:c>
    </x:row>
    <x:row r="15">
      <x:c r="A15" t="str">
        <x:v>APP-012</x:v>
      </x:c>
      <x:c r="B15" t="str">
        <x:v>فوترة</x:v>
      </x:c>
      <x:c r="C15" t="str">
        <x:v>الاشتراك والاستخدام</x:v>
      </x:c>
      <x:c r="D15" t="str">
        <x:v>مالك</x:v>
      </x:c>
      <x:c r="E15" t="str">
        <x:v>الخطة والرصيد والفواتير</x:v>
      </x:c>
      <x:c r="F15" t="str">
        <x:v>الدفع</x:v>
      </x:c>
    </x:row>
    <x:row r="16">
      <x:c r="A16" t="str">
        <x:v>ADM-001</x:v>
      </x:c>
      <x:c r="B16" t="str">
        <x:v>إدارة</x:v>
      </x:c>
      <x:c r="C16" t="str">
        <x:v>الأدوات والإصدارات</x:v>
      </x:c>
      <x:c r="D16" t="str">
        <x:v>مدير منصة</x:v>
      </x:c>
      <x:c r="E16" t="str">
        <x:v>Fields/Prompts/Publish</x:v>
      </x:c>
      <x:c r="F16" t="str">
        <x:v>اختبار</x:v>
      </x:c>
    </x:row>
    <x:row r="17">
      <x:c r="A17" t="str">
        <x:v>ADM-002</x:v>
      </x:c>
      <x:c r="B17" t="str">
        <x:v>إدارة</x:v>
      </x:c>
      <x:c r="C17" t="str">
        <x:v>التكلفة والأداء</x:v>
      </x:c>
      <x:c r="D17" t="str">
        <x:v>مدير منصة</x:v>
      </x:c>
      <x:c r="E17" t="str">
        <x:v>AI cost/errors/latency</x:v>
      </x:c>
      <x:c r="F17" t="str">
        <x:v>تفاصيل Run</x:v>
      </x:c>
    </x:row>
    <x:row r="18">
      <x:c r="A18" t="str">
        <x:v>MOB-001</x:v>
      </x:c>
      <x:c r="B18" t="str">
        <x:v>تطبيق</x:v>
      </x:c>
      <x:c r="C18" t="str">
        <x:v>الرئيسية</x:v>
      </x:c>
      <x:c r="D18" t="str">
        <x:v>مستخدم</x:v>
      </x:c>
      <x:c r="E18" t="str">
        <x:v>ملخص ومهمة حالية</x:v>
      </x:c>
      <x:c r="F18" t="str">
        <x:v>المشروع</x:v>
      </x:c>
    </x:row>
    <x:row r="19">
      <x:c r="A19" t="str">
        <x:v>MOB-002</x:v>
      </x:c>
      <x:c r="B19" t="str">
        <x:v>تطبيق</x:v>
      </x:c>
      <x:c r="C19" t="str">
        <x:v>التقارير</x:v>
      </x:c>
      <x:c r="D19" t="str">
        <x:v>مستخدم</x:v>
      </x:c>
      <x:c r="E19" t="str">
        <x:v>قراءة ومشاركة</x:v>
      </x:c>
      <x:c r="F19" t="str">
        <x:v>التقرير</x:v>
      </x:c>
    </x:row>
    <x:row r="20">
      <x:c r="A20" t="str">
        <x:v>MOB-003</x:v>
      </x:c>
      <x:c r="B20" t="str">
        <x:v>تطبيق</x:v>
      </x:c>
      <x:c r="C20" t="str">
        <x:v>المهام</x:v>
      </x:c>
      <x:c r="D20" t="str">
        <x:v>فريق</x:v>
      </x:c>
      <x:c r="E20" t="str">
        <x:v>تحديث سريع</x:v>
      </x:c>
      <x:c r="F20" t="str">
        <x:v>تفاصيل</x:v>
      </x:c>
    </x:row>
  </x:sheetData>
  <x:pageMargins left="0.7" right="0.7" top="0.75" bottom="0.75" header="0.3" footer="0.3"/>
  <x:tableParts count="1">
    <x:tablePart xmlns:r="http://schemas.openxmlformats.org/officeDocument/2006/relationships" r:id="R70cf7bbc518349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40" hidden="0" customWidth="1"/>
    <x:col min="4" max="4" width="38" hidden="0" customWidth="1"/>
  </x:cols>
  <x:sheetData>
    <x:row r="1">
      <x:c r="A1" s="14" t="str">
        <x:v>الجدول</x:v>
      </x:c>
      <x:c r="B1" s="14" t="str">
        <x:v>الوحدة</x:v>
      </x:c>
      <x:c r="C1" s="14" t="str">
        <x:v>الغرض</x:v>
      </x:c>
      <x:c r="D1" s="14" t="str">
        <x:v>العلاقات الرئيسية</x:v>
      </x:c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users</x:v>
      </x:c>
      <x:c r="B2" t="str">
        <x:v>Identity</x:v>
      </x:c>
      <x:c r="C2" t="str">
        <x:v>حساب المستخدم</x:v>
      </x:c>
      <x:c r="D2" t="str">
        <x:v>workspaces, members</x:v>
      </x:c>
    </x:row>
    <x:row r="3">
      <x:c r="A3" t="str">
        <x:v>workspaces</x:v>
      </x:c>
      <x:c r="B3" t="str">
        <x:v>Workspace</x:v>
      </x:c>
      <x:c r="C3" t="str">
        <x:v>مساحة العمل والفوترة</x:v>
      </x:c>
      <x:c r="D3" t="str">
        <x:v>users, projects, subscriptions</x:v>
      </x:c>
    </x:row>
    <x:row r="4">
      <x:c r="A4" t="str">
        <x:v>projects</x:v>
      </x:c>
      <x:c r="B4" t="str">
        <x:v>Projects</x:v>
      </x:c>
      <x:c r="C4" t="str">
        <x:v>المشروع</x:v>
      </x:c>
      <x:c r="D4" t="str">
        <x:v>profile, products, audiences, runs</x:v>
      </x:c>
    </x:row>
    <x:row r="5">
      <x:c r="A5" t="str">
        <x:v>project_profiles</x:v>
      </x:c>
      <x:c r="B5" t="str">
        <x:v>Projects</x:v>
      </x:c>
      <x:c r="C5" t="str">
        <x:v>البيانات الموحدة</x:v>
      </x:c>
      <x:c r="D5" t="str">
        <x:v>project</x:v>
      </x:c>
    </x:row>
    <x:row r="6">
      <x:c r="A6" t="str">
        <x:v>tools</x:v>
      </x:c>
      <x:c r="B6" t="str">
        <x:v>Tools</x:v>
      </x:c>
      <x:c r="C6" t="str">
        <x:v>تعريف الأداة</x:v>
      </x:c>
      <x:c r="D6" t="str">
        <x:v>tool_versions</x:v>
      </x:c>
    </x:row>
    <x:row r="7">
      <x:c r="A7" t="str">
        <x:v>tool_versions</x:v>
      </x:c>
      <x:c r="B7" t="str">
        <x:v>Tools</x:v>
      </x:c>
      <x:c r="C7" t="str">
        <x:v>نسخة منشورة ثابتة</x:v>
      </x:c>
      <x:c r="D7" t="str">
        <x:v>fields, prompts, runs</x:v>
      </x:c>
    </x:row>
    <x:row r="8">
      <x:c r="A8" t="str">
        <x:v>tool_fields</x:v>
      </x:c>
      <x:c r="B8" t="str">
        <x:v>Tools</x:v>
      </x:c>
      <x:c r="C8" t="str">
        <x:v>حقول النموذج الديناميكي</x:v>
      </x:c>
      <x:c r="D8" t="str">
        <x:v>tool_version</x:v>
      </x:c>
    </x:row>
    <x:row r="9">
      <x:c r="A9" t="str">
        <x:v>prompt_versions</x:v>
      </x:c>
      <x:c r="B9" t="str">
        <x:v>AI</x:v>
      </x:c>
      <x:c r="C9" t="str">
        <x:v>برومبتات مراحل التشغيل</x:v>
      </x:c>
      <x:c r="D9" t="str">
        <x:v>tool_version</x:v>
      </x:c>
    </x:row>
    <x:row r="10">
      <x:c r="A10" t="str">
        <x:v>tool_runs</x:v>
      </x:c>
      <x:c r="B10" t="str">
        <x:v>AI</x:v>
      </x:c>
      <x:c r="C10" t="str">
        <x:v>عملية تشغيل</x:v>
      </x:c>
      <x:c r="D10" t="str">
        <x:v>answers, files, report, usage</x:v>
      </x:c>
    </x:row>
    <x:row r="11">
      <x:c r="A11" t="str">
        <x:v>reports</x:v>
      </x:c>
      <x:c r="B11" t="str">
        <x:v>Reports</x:v>
      </x:c>
      <x:c r="C11" t="str">
        <x:v>التقرير</x:v>
      </x:c>
      <x:c r="D11" t="str">
        <x:v>sections, findings</x:v>
      </x:c>
    </x:row>
    <x:row r="12">
      <x:c r="A12" t="str">
        <x:v>findings</x:v>
      </x:c>
      <x:c r="B12" t="str">
        <x:v>Reports</x:v>
      </x:c>
      <x:c r="C12" t="str">
        <x:v>النتائج</x:v>
      </x:c>
      <x:c r="D12" t="str">
        <x:v>recommendations</x:v>
      </x:c>
    </x:row>
    <x:row r="13">
      <x:c r="A13" t="str">
        <x:v>recommendations</x:v>
      </x:c>
      <x:c r="B13" t="str">
        <x:v>Execution</x:v>
      </x:c>
      <x:c r="C13" t="str">
        <x:v>التوصيات</x:v>
      </x:c>
      <x:c r="D13" t="str">
        <x:v>tasks</x:v>
      </x:c>
    </x:row>
    <x:row r="14">
      <x:c r="A14" t="str">
        <x:v>tasks</x:v>
      </x:c>
      <x:c r="B14" t="str">
        <x:v>Execution</x:v>
      </x:c>
      <x:c r="C14" t="str">
        <x:v>المهام</x:v>
      </x:c>
      <x:c r="D14" t="str">
        <x:v>project, assignee</x:v>
      </x:c>
    </x:row>
    <x:row r="15">
      <x:c r="A15" t="str">
        <x:v>kpis</x:v>
      </x:c>
      <x:c r="B15" t="str">
        <x:v>Measurement</x:v>
      </x:c>
      <x:c r="C15" t="str">
        <x:v>المؤشرات</x:v>
      </x:c>
      <x:c r="D15" t="str">
        <x:v>entries</x:v>
      </x:c>
    </x:row>
    <x:row r="16">
      <x:c r="A16" t="str">
        <x:v>subscriptions</x:v>
      </x:c>
      <x:c r="B16" t="str">
        <x:v>Billing</x:v>
      </x:c>
      <x:c r="C16" t="str">
        <x:v>الاشتراك</x:v>
      </x:c>
      <x:c r="D16" t="str">
        <x:v>workspace, plan</x:v>
      </x:c>
    </x:row>
    <x:row r="17">
      <x:c r="A17" t="str">
        <x:v>credit_wallets</x:v>
      </x:c>
      <x:c r="B17" t="str">
        <x:v>Billing</x:v>
      </x:c>
      <x:c r="C17" t="str">
        <x:v>الرصيد</x:v>
      </x:c>
      <x:c r="D17" t="str">
        <x:v>transactions</x:v>
      </x:c>
    </x:row>
    <x:row r="18">
      <x:c r="A18" t="str">
        <x:v>ai_usage_records</x:v>
      </x:c>
      <x:c r="B18" t="str">
        <x:v>Analytics</x:v>
      </x:c>
      <x:c r="C18" t="str">
        <x:v>تكلفة AI</x:v>
      </x:c>
      <x:c r="D18" t="str">
        <x:v>run</x:v>
      </x:c>
    </x:row>
    <x:row r="19">
      <x:c r="A19" t="str">
        <x:v>audit_logs</x:v>
      </x:c>
      <x:c r="B19" t="str">
        <x:v>Security</x:v>
      </x:c>
      <x:c r="C19" t="str">
        <x:v>سجل العمليات</x:v>
      </x:c>
      <x:c r="D19" t="str">
        <x:v>workspace, actor</x:v>
      </x:c>
    </x:row>
  </x:sheetData>
  <x:pageMargins left="0.7" right="0.7" top="0.75" bottom="0.75" header="0.3" footer="0.3"/>
  <x:tableParts count="1">
    <x:tablePart xmlns:r="http://schemas.openxmlformats.org/officeDocument/2006/relationships" r:id="Ref3c6acc07fd444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18" hidden="0" customWidth="1"/>
    <x:col min="5" max="5" width="36" hidden="0" customWidth="1"/>
  </x:cols>
  <x:sheetData>
    <x:row r="1">
      <x:c r="A1" s="14" t="str">
        <x:v>الإصدار</x:v>
      </x:c>
      <x:c r="B1" s="14" t="str">
        <x:v>المرحلة</x:v>
      </x:c>
      <x:c r="C1" s="14" t="str">
        <x:v>النطاق</x:v>
      </x:c>
      <x:c r="D1" s="14" t="str">
        <x:v>المدة</x:v>
      </x:c>
      <x:c r="E1" s="14" t="str">
        <x:v>بوابة النجاح</x:v>
      </x:c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v0.1</x:v>
      </x:c>
      <x:c r="B2" t="str">
        <x:v>Discovery</x:v>
      </x:c>
      <x:c r="C2" t="str">
        <x:v>صفحة انتظار، مقابلات، نموذج تقرير</x:v>
      </x:c>
      <x:c r="D2" t="str">
        <x:v>2–3 أسابيع</x:v>
      </x:c>
      <x:c r="E2" t="str">
        <x:v>استعداد للدفع</x:v>
      </x:c>
    </x:row>
    <x:row r="3">
      <x:c r="A3" t="str">
        <x:v>v0.5</x:v>
      </x:c>
      <x:c r="B3" t="str">
        <x:v>Alpha</x:v>
      </x:c>
      <x:c r="C3" t="str">
        <x:v>حساب، مشروع، تدقيق واحد، تقرير HTML</x:v>
      </x:c>
      <x:c r="D3" t="str">
        <x:v>4–6 أسابيع</x:v>
      </x:c>
      <x:c r="E3" t="str">
        <x:v>10 مستخدمين يكملون الرحلة</x:v>
      </x:c>
    </x:row>
    <x:row r="4">
      <x:c r="A4" t="str">
        <x:v>v0.9</x:v>
      </x:c>
      <x:c r="B4" t="str">
        <x:v>Beta</x:v>
      </x:c>
      <x:c r="C4" t="str">
        <x:v>4 أدوات، PDF، مهام، أرصدة، دفع</x:v>
      </x:c>
      <x:c r="D4" t="str">
        <x:v>4–6 أسابيع</x:v>
      </x:c>
      <x:c r="E4" t="str">
        <x:v>أول اشتراكات</x:v>
      </x:c>
    </x:row>
    <x:row r="5">
      <x:c r="A5" t="str">
        <x:v>v1.0</x:v>
      </x:c>
      <x:c r="B5" t="str">
        <x:v>Public</x:v>
      </x:c>
      <x:c r="C5" t="str">
        <x:v>PWA، Analytics، دعم، إطلاق عام</x:v>
      </x:c>
      <x:c r="D5" t="str">
        <x:v>2–3 أسابيع</x:v>
      </x:c>
      <x:c r="E5" t="str">
        <x:v>MRR أولي</x:v>
      </x:c>
    </x:row>
    <x:row r="6">
      <x:c r="A6" t="str">
        <x:v>v1.5</x:v>
      </x:c>
      <x:c r="B6" t="str">
        <x:v>Growth</x:v>
      </x:c>
      <x:c r="C6" t="str">
        <x:v>SEO/GTM/Sales، إحالات، إعلانات، KPIs</x:v>
      </x:c>
      <x:c r="D6" t="str">
        <x:v>6–8 أسابيع</x:v>
      </x:c>
      <x:c r="E6" t="str">
        <x:v>احتفاظ وهامش إيجابي</x:v>
      </x:c>
    </x:row>
    <x:row r="7">
      <x:c r="A7" t="str">
        <x:v>v2.0</x:v>
      </x:c>
      <x:c r="B7" t="str">
        <x:v>Mobile</x:v>
      </x:c>
      <x:c r="C7" t="str">
        <x:v>Flutter وإشعارات ومشتريات</x:v>
      </x:c>
      <x:c r="D7" t="str">
        <x:v>8–12 أسبوعاً</x:v>
      </x:c>
      <x:c r="E7" t="str">
        <x:v>استخدام جوال مثبت</x:v>
      </x:c>
    </x:row>
    <x:row r="8">
      <x:c r="A8" t="str">
        <x:v>v3.0</x:v>
      </x:c>
      <x:c r="B8" t="str">
        <x:v>Agency</x:v>
      </x:c>
      <x:c r="C8" t="str">
        <x:v>Teams، White Label، Client Portal، API</x:v>
      </x:c>
      <x:c r="D8" t="str">
        <x:v>8–12 أسبوعاً</x:v>
      </x:c>
      <x:c r="E8" t="str">
        <x:v>3 وكالات مدفوعة</x:v>
      </x:c>
    </x:row>
  </x:sheetData>
  <x:pageMargins left="0.7" right="0.7" top="0.75" bottom="0.75" header="0.3" footer="0.3"/>
  <x:tableParts count="1">
    <x:tablePart xmlns:r="http://schemas.openxmlformats.org/officeDocument/2006/relationships" r:id="Rf53eaac13751409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48" hidden="0" customWidth="1"/>
    <x:col min="6" max="6" width="18" hidden="0" customWidth="1"/>
    <x:col min="7" max="7" width="16" hidden="0" customWidth="1"/>
  </x:cols>
  <x:sheetData>
    <x:row r="1">
      <x:c r="A1" s="14" t="str">
        <x:v>ID</x:v>
      </x:c>
      <x:c r="B1" s="14" t="str">
        <x:v>الخطر</x:v>
      </x:c>
      <x:c r="C1" s="14" t="str">
        <x:v>الاحتمال</x:v>
      </x:c>
      <x:c r="D1" s="14" t="str">
        <x:v>الأثر</x:v>
      </x:c>
      <x:c r="E1" s="14" t="str">
        <x:v>المعالجة</x:v>
      </x:c>
      <x:c r="F1" s="14" t="str">
        <x:v>المالك</x:v>
      </x:c>
      <x:c r="G1" s="14" t="str">
        <x:v>الحالة</x:v>
      </x:c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R01</x:v>
      </x:c>
      <x:c r="B2" t="str">
        <x:v>تقارير عامة</x:v>
      </x:c>
      <x:c r="C2" t="str">
        <x:v>مرتفع</x:v>
      </x:c>
      <x:c r="D2" t="str">
        <x:v>مرتفع</x:v>
      </x:c>
      <x:c r="E2" t="str">
        <x:v>أسئلة ذكية، أدلة، قوالب قطاعية</x:v>
      </x:c>
      <x:c r="F2" t="str">
        <x:v>Product/AI</x:v>
      </x:c>
      <x:c r="G2" t="str">
        <x:v>مفتوح</x:v>
      </x:c>
    </x:row>
    <x:row r="3">
      <x:c r="A3" t="str">
        <x:v>R02</x:v>
      </x:c>
      <x:c r="B3" t="str">
        <x:v>ارتفاع تكلفة AI</x:v>
      </x:c>
      <x:c r="C3" t="str">
        <x:v>متوسط</x:v>
      </x:c>
      <x:c r="D3" t="str">
        <x:v>مرتفع</x:v>
      </x:c>
      <x:c r="E3" t="str">
        <x:v>أرصدة، routing، cache، حدود</x:v>
      </x:c>
      <x:c r="F3" t="str">
        <x:v>Engineering</x:v>
      </x:c>
      <x:c r="G3" t="str">
        <x:v>مفتوح</x:v>
      </x:c>
    </x:row>
    <x:row r="4">
      <x:c r="A4" t="str">
        <x:v>R03</x:v>
      </x:c>
      <x:c r="B4" t="str">
        <x:v>ضعف العودة الشهرية</x:v>
      </x:c>
      <x:c r="C4" t="str">
        <x:v>مرتفع</x:v>
      </x:c>
      <x:c r="D4" t="str">
        <x:v>مرتفع</x:v>
      </x:c>
      <x:c r="E4" t="str">
        <x:v>مهام، KPIs، مراجعة شهرية</x:v>
      </x:c>
      <x:c r="F4" t="str">
        <x:v>Product</x:v>
      </x:c>
      <x:c r="G4" t="str">
        <x:v>مفتوح</x:v>
      </x:c>
    </x:row>
    <x:row r="5">
      <x:c r="A5" t="str">
        <x:v>R04</x:v>
      </x:c>
      <x:c r="B5" t="str">
        <x:v>اتساع النطاق</x:v>
      </x:c>
      <x:c r="C5" t="str">
        <x:v>مرتفع</x:v>
      </x:c>
      <x:c r="D5" t="str">
        <x:v>مرتفع</x:v>
      </x:c>
      <x:c r="E5" t="str">
        <x:v>MVP صارم وبوابات انتقال</x:v>
      </x:c>
      <x:c r="F5" t="str">
        <x:v>Product</x:v>
      </x:c>
      <x:c r="G5" t="str">
        <x:v>مفتوح</x:v>
      </x:c>
    </x:row>
    <x:row r="6">
      <x:c r="A6" t="str">
        <x:v>R05</x:v>
      </x:c>
      <x:c r="B6" t="str">
        <x:v>تسريب بيانات</x:v>
      </x:c>
      <x:c r="C6" t="str">
        <x:v>منخفض</x:v>
      </x:c>
      <x:c r="D6" t="str">
        <x:v>حرج</x:v>
      </x:c>
      <x:c r="E6" t="str">
        <x:v>عزل وتشفير واختبارات أمن</x:v>
      </x:c>
      <x:c r="F6" t="str">
        <x:v>Security</x:v>
      </x:c>
      <x:c r="G6" t="str">
        <x:v>مفتوح</x:v>
      </x:c>
    </x:row>
    <x:row r="7">
      <x:c r="A7" t="str">
        <x:v>R06</x:v>
      </x:c>
      <x:c r="B7" t="str">
        <x:v>فشل الدفع/التكرار</x:v>
      </x:c>
      <x:c r="C7" t="str">
        <x:v>متوسط</x:v>
      </x:c>
      <x:c r="D7" t="str">
        <x:v>مرتفع</x:v>
      </x:c>
      <x:c r="E7" t="str">
        <x:v>Idempotency وسجل Webhook</x:v>
      </x:c>
      <x:c r="F7" t="str">
        <x:v>Backend</x:v>
      </x:c>
      <x:c r="G7" t="str">
        <x:v>مفتوح</x:v>
      </x:c>
    </x:row>
    <x:row r="8">
      <x:c r="A8" t="str">
        <x:v>R07</x:v>
      </x:c>
      <x:c r="B8" t="str">
        <x:v>ضعف التحويل</x:v>
      </x:c>
      <x:c r="C8" t="str">
        <x:v>متوسط</x:v>
      </x:c>
      <x:c r="D8" t="str">
        <x:v>مرتفع</x:v>
      </x:c>
      <x:c r="E8" t="str">
        <x:v>تجربة مجانية، عينات، Paywall</x:v>
      </x:c>
      <x:c r="F8" t="str">
        <x:v>Growth</x:v>
      </x:c>
      <x:c r="G8" t="str">
        <x:v>مفتوح</x:v>
      </x:c>
    </x:row>
    <x:row r="9">
      <x:c r="A9" t="str">
        <x:v>R08</x:v>
      </x:c>
      <x:c r="B9" t="str">
        <x:v>تعقيد التطبيق مبكراً</x:v>
      </x:c>
      <x:c r="C9" t="str">
        <x:v>متوسط</x:v>
      </x:c>
      <x:c r="D9" t="str">
        <x:v>مرتفع</x:v>
      </x:c>
      <x:c r="E9" t="str">
        <x:v>تأجيل Flutter حتى إثبات الطلب</x:v>
      </x:c>
      <x:c r="F9" t="str">
        <x:v>Product</x:v>
      </x:c>
      <x:c r="G9" t="str">
        <x:v>مفتوح</x:v>
      </x:c>
    </x:row>
  </x:sheetData>
  <x:dataValidations count="1">
    <x:dataValidation type="list" sqref="G2:G9">
      <x:formula1>"مفتوح,تحت المعالجة,مغلق,مقبول"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90584dccfa42f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8" hidden="0" customWidth="1"/>
    <x:col min="4" max="4" width="42" hidden="0" customWidth="1"/>
    <x:col min="5" max="5" width="44" hidden="0" customWidth="1"/>
    <x:col min="6" max="6" width="14" hidden="0" customWidth="1"/>
    <x:col min="7" max="7" width="16" hidden="0" customWidth="1"/>
  </x:cols>
  <x:sheetData>
    <x:row r="1">
      <x:c r="A1" s="14" t="str">
        <x:v>ID</x:v>
      </x:c>
      <x:c r="B1" s="14" t="str">
        <x:v>الوحدة</x:v>
      </x:c>
      <x:c r="C1" s="14" t="str">
        <x:v>النوع</x:v>
      </x:c>
      <x:c r="D1" s="14" t="str">
        <x:v>السيناريو</x:v>
      </x:c>
      <x:c r="E1" s="14" t="str">
        <x:v>النتيجة المتوقعة</x:v>
      </x:c>
      <x:c r="F1" s="14" t="str">
        <x:v>الإصدار</x:v>
      </x:c>
      <x:c r="G1" s="14" t="str">
        <x:v>الحالة</x:v>
      </x:c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T001</x:v>
      </x:c>
      <x:c r="B2" t="str">
        <x:v>Auth</x:v>
      </x:c>
      <x:c r="C2" t="str">
        <x:v>Feature</x:v>
      </x:c>
      <x:c r="D2" t="str">
        <x:v>تسجيل وتأكيد واستعادة</x:v>
      </x:c>
      <x:c r="E2" t="str">
        <x:v>حساب وWorkspace صحيحتان</x:v>
      </x:c>
      <x:c r="F2" t="str">
        <x:v>MVP</x:v>
      </x:c>
      <x:c r="G2" t="str">
        <x:v>لم يبدأ</x:v>
      </x:c>
    </x:row>
    <x:row r="3">
      <x:c r="A3" t="str">
        <x:v>T002</x:v>
      </x:c>
      <x:c r="B3" t="str">
        <x:v>Authorization</x:v>
      </x:c>
      <x:c r="C3" t="str">
        <x:v>Security</x:v>
      </x:c>
      <x:c r="D3" t="str">
        <x:v>محاولة الوصول لمشروع Workspace أخرى</x:v>
      </x:c>
      <x:c r="E3" t="str">
        <x:v>403 دون تسريب</x:v>
      </x:c>
      <x:c r="F3" t="str">
        <x:v>MVP</x:v>
      </x:c>
      <x:c r="G3" t="str">
        <x:v>لم يبدأ</x:v>
      </x:c>
    </x:row>
    <x:row r="4">
      <x:c r="A4" t="str">
        <x:v>T003</x:v>
      </x:c>
      <x:c r="B4" t="str">
        <x:v>Project Wizard</x:v>
      </x:c>
      <x:c r="C4" t="str">
        <x:v>E2E</x:v>
      </x:c>
      <x:c r="D4" t="str">
        <x:v>الخروج والعودة</x:v>
      </x:c>
      <x:c r="E4" t="str">
        <x:v>استئناف دون فقد</x:v>
      </x:c>
      <x:c r="F4" t="str">
        <x:v>MVP</x:v>
      </x:c>
      <x:c r="G4" t="str">
        <x:v>لم يبدأ</x:v>
      </x:c>
    </x:row>
    <x:row r="5">
      <x:c r="A5" t="str">
        <x:v>T004</x:v>
      </x:c>
      <x:c r="B5" t="str">
        <x:v>Credits</x:v>
      </x:c>
      <x:c r="C5" t="str">
        <x:v>Unit/Feature</x:v>
      </x:c>
      <x:c r="D5" t="str">
        <x:v>نجاح وفشل Run</x:v>
      </x:c>
      <x:c r="E5" t="str">
        <x:v>خصم عند النجاح واسترداد عند الفشل</x:v>
      </x:c>
      <x:c r="F5" t="str">
        <x:v>MVP</x:v>
      </x:c>
      <x:c r="G5" t="str">
        <x:v>لم يبدأ</x:v>
      </x:c>
    </x:row>
    <x:row r="6">
      <x:c r="A6" t="str">
        <x:v>T005</x:v>
      </x:c>
      <x:c r="B6" t="str">
        <x:v>AI Schema</x:v>
      </x:c>
      <x:c r="C6" t="str">
        <x:v>Contract</x:v>
      </x:c>
      <x:c r="D6" t="str">
        <x:v>مخرجات غير مطابقة</x:v>
      </x:c>
      <x:c r="E6" t="str">
        <x:v>Retry/Fail منظم</x:v>
      </x:c>
      <x:c r="F6" t="str">
        <x:v>MVP</x:v>
      </x:c>
      <x:c r="G6" t="str">
        <x:v>لم يبدأ</x:v>
      </x:c>
    </x:row>
    <x:row r="7">
      <x:c r="A7" t="str">
        <x:v>T006</x:v>
      </x:c>
      <x:c r="B7" t="str">
        <x:v>Report PDF</x:v>
      </x:c>
      <x:c r="C7" t="str">
        <x:v>Visual</x:v>
      </x:c>
      <x:c r="D7" t="str">
        <x:v>تقرير عربي طويل</x:v>
      </x:c>
      <x:c r="E7" t="str">
        <x:v>لا قص أو رموز مفقودة</x:v>
      </x:c>
      <x:c r="F7" t="str">
        <x:v>MVP</x:v>
      </x:c>
      <x:c r="G7" t="str">
        <x:v>لم يبدأ</x:v>
      </x:c>
    </x:row>
    <x:row r="8">
      <x:c r="A8" t="str">
        <x:v>T007</x:v>
      </x:c>
      <x:c r="B8" t="str">
        <x:v>Payment Webhook</x:v>
      </x:c>
      <x:c r="C8" t="str">
        <x:v>Feature</x:v>
      </x:c>
      <x:c r="D8" t="str">
        <x:v>إعادة إرسال webhook</x:v>
      </x:c>
      <x:c r="E8" t="str">
        <x:v>لا تكرار للاشتراك/الرصيد</x:v>
      </x:c>
      <x:c r="F8" t="str">
        <x:v>MVP</x:v>
      </x:c>
      <x:c r="G8" t="str">
        <x:v>لم يبدأ</x:v>
      </x:c>
    </x:row>
    <x:row r="9">
      <x:c r="A9" t="str">
        <x:v>T008</x:v>
      </x:c>
      <x:c r="B9" t="str">
        <x:v>File Upload</x:v>
      </x:c>
      <x:c r="C9" t="str">
        <x:v>Security</x:v>
      </x:c>
      <x:c r="D9" t="str">
        <x:v>امتداد وحجم ضار</x:v>
      </x:c>
      <x:c r="E9" t="str">
        <x:v>رفض وتسجيل</x:v>
      </x:c>
      <x:c r="F9" t="str">
        <x:v>MVP</x:v>
      </x:c>
      <x:c r="G9" t="str">
        <x:v>لم يبدأ</x:v>
      </x:c>
    </x:row>
    <x:row r="10">
      <x:c r="A10" t="str">
        <x:v>T009</x:v>
      </x:c>
      <x:c r="B10" t="str">
        <x:v>Load</x:v>
      </x:c>
      <x:c r="C10" t="str">
        <x:v>Performance</x:v>
      </x:c>
      <x:c r="D10" t="str">
        <x:v>50 Runs متزامنة</x:v>
      </x:c>
      <x:c r="E10" t="str">
        <x:v>Queue مستقرة وقياس latency</x:v>
      </x:c>
      <x:c r="F10" t="str">
        <x:v>Beta</x:v>
      </x:c>
      <x:c r="G10" t="str">
        <x:v>لم يبدأ</x:v>
      </x:c>
    </x:row>
    <x:row r="11">
      <x:c r="A11" t="str">
        <x:v>T010</x:v>
      </x:c>
      <x:c r="B11" t="str">
        <x:v>AI Quality</x:v>
      </x:c>
      <x:c r="C11" t="str">
        <x:v>Benchmark</x:v>
      </x:c>
      <x:c r="D11" t="str">
        <x:v>10 حالات لكل أداة</x:v>
      </x:c>
      <x:c r="E11" t="str">
        <x:v>تقييم جودة يتجاوز الحد</x:v>
      </x:c>
      <x:c r="F11" t="str">
        <x:v>Beta</x:v>
      </x:c>
      <x:c r="G11" t="str">
        <x:v>لم يبدأ</x:v>
      </x:c>
    </x:row>
  </x:sheetData>
  <x:dataValidations count="1">
    <x:dataValidation type="list" sqref="G2:G11">
      <x:formula1>"لم يبدأ,قيد التنفيذ,نجح,فشل,متوقف"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01076ea118479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34" hidden="0" customWidth="1"/>
    <x:col min="4" max="4" width="18" hidden="0" customWidth="1"/>
    <x:col min="5" max="5" width="40" hidden="0" customWidth="1"/>
  </x:cols>
  <x:sheetData>
    <x:row r="1">
      <x:c r="A1" s="14" t="str">
        <x:v>ID</x:v>
      </x:c>
      <x:c r="B1" s="14" t="str">
        <x:v>القرار</x:v>
      </x:c>
      <x:c r="C1" s="14" t="str">
        <x:v>الخيار</x:v>
      </x:c>
      <x:c r="D1" s="14" t="str">
        <x:v>الحالة</x:v>
      </x:c>
      <x:c r="E1" s="14" t="str">
        <x:v>الأثر</x:v>
      </x:c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  <x:c r="Z1" s="34"/>
    </x:row>
    <x:row r="2">
      <x:c r="A2" t="str">
        <x:v>D01</x:v>
      </x:c>
      <x:c r="B2" t="str">
        <x:v>السوق الأول</x:v>
      </x:c>
      <x:c r="C2" t="str">
        <x:v>السعودية والخليج</x:v>
      </x:c>
      <x:c r="D2" t="str">
        <x:v>مقترح</x:v>
      </x:c>
      <x:c r="E2" t="str">
        <x:v>الدفع والتسعير والهوية</x:v>
      </x:c>
    </x:row>
    <x:row r="3">
      <x:c r="A3" t="str">
        <x:v>D02</x:v>
      </x:c>
      <x:c r="B3" t="str">
        <x:v>Frontend</x:v>
      </x:c>
      <x:c r="C3" t="str">
        <x:v>Inertia + Vue</x:v>
      </x:c>
      <x:c r="D3" t="str">
        <x:v>مقترح</x:v>
      </x:c>
      <x:c r="E3" t="str">
        <x:v>تطبيق غني وAPI مشترك</x:v>
      </x:c>
    </x:row>
    <x:row r="4">
      <x:c r="A4" t="str">
        <x:v>D03</x:v>
      </x:c>
      <x:c r="B4" t="str">
        <x:v>قاعدة البيانات</x:v>
      </x:c>
      <x:c r="C4" t="str">
        <x:v>PostgreSQL</x:v>
      </x:c>
      <x:c r="D4" t="str">
        <x:v>مقترح</x:v>
      </x:c>
      <x:c r="E4" t="str">
        <x:v>JSON وتحليلات</x:v>
      </x:c>
    </x:row>
    <x:row r="5">
      <x:c r="A5" t="str">
        <x:v>D04</x:v>
      </x:c>
      <x:c r="B5" t="str">
        <x:v>إطلاق التطبيق</x:v>
      </x:c>
      <x:c r="C5" t="str">
        <x:v>بعد إثبات MVP</x:v>
      </x:c>
      <x:c r="D5" t="str">
        <x:v>معتمد مبدئياً</x:v>
      </x:c>
      <x:c r="E5" t="str">
        <x:v>تقليل المخاطرة</x:v>
      </x:c>
    </x:row>
    <x:row r="6">
      <x:c r="A6" t="str">
        <x:v>D05</x:v>
      </x:c>
      <x:c r="B6" t="str">
        <x:v>الدخل الأساسي</x:v>
      </x:c>
      <x:c r="C6" t="str">
        <x:v>الاشتراكات والأرصدة</x:v>
      </x:c>
      <x:c r="D6" t="str">
        <x:v>معتمد</x:v>
      </x:c>
      <x:c r="E6" t="str">
        <x:v>الإعلانات ثانوية</x:v>
      </x:c>
    </x:row>
    <x:row r="7">
      <x:c r="A7" t="str">
        <x:v>D06</x:v>
      </x:c>
      <x:c r="B7" t="str">
        <x:v>Security Audit</x:v>
      </x:c>
      <x:c r="C7" t="str">
        <x:v>دفاعي فقط في البداية</x:v>
      </x:c>
      <x:c r="D7" t="str">
        <x:v>مقترح</x:v>
      </x:c>
      <x:c r="E7" t="str">
        <x:v>تقليل مخاطر قانونية</x:v>
      </x:c>
    </x:row>
    <x:row r="8">
      <x:c r="A8" t="str">
        <x:v>D07</x:v>
      </x:c>
      <x:c r="B8" t="str">
        <x:v>اسم المنتج</x:v>
      </x:c>
      <x:c r="C8" t="str">
        <x:v>غير محسوم</x:v>
      </x:c>
      <x:c r="D8" t="str">
        <x:v>مفتوح</x:v>
      </x:c>
      <x:c r="E8" t="str">
        <x:v>الدومين والعلامة</x:v>
      </x:c>
    </x:row>
    <x:row r="9">
      <x:c r="A9" t="str">
        <x:v>D08</x:v>
      </x:c>
      <x:c r="B9" t="str">
        <x:v>بوابة الدفع</x:v>
      </x:c>
      <x:c r="C9" t="str">
        <x:v>غير محسومة</x:v>
      </x:c>
      <x:c r="D9" t="str">
        <x:v>مفتوح</x:v>
      </x:c>
      <x:c r="E9" t="str">
        <x:v>التكامل والفواتير</x:v>
      </x:c>
    </x:row>
  </x:sheetData>
  <x:dataValidations count="1">
    <x:dataValidation type="list" sqref="D2:D9">
      <x:formula1>"مقترح,معتمد,معتمد مبدئياً,مفتوح,مرفوض"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3ec6d3796340d6"/>
  </x:tableParts>
</x:worksheet>
</file>